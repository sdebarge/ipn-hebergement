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darphel\AppData\Local\Microsoft\Windows\INetCache\Content.Outlook\2YZRWVLQ\"/>
    </mc:Choice>
  </mc:AlternateContent>
  <xr:revisionPtr revIDLastSave="0" documentId="13_ncr:1_{CC544E28-478F-4C35-B872-3247AED30755}" xr6:coauthVersionLast="36" xr6:coauthVersionMax="36" xr10:uidLastSave="{00000000-0000-0000-0000-000000000000}"/>
  <bookViews>
    <workbookView xWindow="0" yWindow="0" windowWidth="28800" windowHeight="11805" xr2:uid="{A55CE800-9077-445A-8BD0-7039073A3183}"/>
  </bookViews>
  <sheets>
    <sheet name="EPCI Pays de Fénelon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20" i="4" l="1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AV19" i="4"/>
  <c r="AU19" i="4"/>
  <c r="AS19" i="4"/>
  <c r="AV18" i="4"/>
  <c r="AU18" i="4"/>
  <c r="AS18" i="4"/>
  <c r="AV17" i="4"/>
  <c r="AU17" i="4"/>
  <c r="AS17" i="4"/>
  <c r="AV16" i="4"/>
  <c r="AU16" i="4"/>
  <c r="AS16" i="4"/>
  <c r="AV15" i="4"/>
  <c r="AU15" i="4"/>
  <c r="AS15" i="4"/>
  <c r="AV14" i="4"/>
  <c r="AU14" i="4"/>
  <c r="AS14" i="4"/>
  <c r="AV13" i="4"/>
  <c r="AU13" i="4"/>
  <c r="AS13" i="4"/>
  <c r="AV12" i="4"/>
  <c r="AU12" i="4"/>
  <c r="AS12" i="4"/>
  <c r="AV11" i="4"/>
  <c r="AU11" i="4"/>
  <c r="AS11" i="4"/>
  <c r="AV10" i="4"/>
  <c r="AU10" i="4"/>
  <c r="AS10" i="4"/>
  <c r="AV9" i="4"/>
  <c r="AU9" i="4"/>
  <c r="AS9" i="4"/>
  <c r="AV8" i="4"/>
  <c r="AU8" i="4"/>
  <c r="AS8" i="4"/>
  <c r="AV7" i="4"/>
  <c r="AU7" i="4"/>
  <c r="AS7" i="4"/>
  <c r="AV6" i="4"/>
  <c r="AU6" i="4"/>
  <c r="AS6" i="4"/>
  <c r="AV5" i="4"/>
  <c r="AU5" i="4"/>
  <c r="AS5" i="4"/>
  <c r="AV4" i="4"/>
  <c r="AU4" i="4"/>
  <c r="AS4" i="4"/>
  <c r="AV3" i="4"/>
  <c r="AU3" i="4"/>
  <c r="AS3" i="4"/>
  <c r="AW4" i="4" l="1"/>
  <c r="AW12" i="4"/>
  <c r="AW9" i="4"/>
  <c r="AW17" i="4"/>
  <c r="AW15" i="4"/>
  <c r="AW10" i="4"/>
  <c r="AW5" i="4"/>
  <c r="AW13" i="4"/>
  <c r="AU20" i="4"/>
  <c r="AW8" i="4"/>
  <c r="AW3" i="4"/>
  <c r="AW11" i="4"/>
  <c r="AW19" i="4"/>
  <c r="AW7" i="4"/>
  <c r="AW18" i="4"/>
  <c r="AW16" i="4"/>
  <c r="AS20" i="4"/>
  <c r="AW6" i="4"/>
  <c r="AW14" i="4"/>
  <c r="AV20" i="4"/>
  <c r="AW20" i="4" l="1"/>
</calcChain>
</file>

<file path=xl/sharedStrings.xml><?xml version="1.0" encoding="utf-8"?>
<sst xmlns="http://schemas.openxmlformats.org/spreadsheetml/2006/main" count="128" uniqueCount="53">
  <si>
    <t>Communes</t>
  </si>
  <si>
    <t>Code INSEE</t>
  </si>
  <si>
    <t>EPCI</t>
  </si>
  <si>
    <t>Hôtels</t>
  </si>
  <si>
    <t>Hôtels non classés</t>
  </si>
  <si>
    <t>Campings</t>
  </si>
  <si>
    <t>Cpgs non classés</t>
  </si>
  <si>
    <t>GDF</t>
  </si>
  <si>
    <t>CH GDF</t>
  </si>
  <si>
    <t>CLE</t>
  </si>
  <si>
    <t>CH CLE</t>
  </si>
  <si>
    <t>Meub.classés</t>
  </si>
  <si>
    <t>Meub non cl.</t>
  </si>
  <si>
    <t>Autres CH</t>
  </si>
  <si>
    <t>Gîte d'étape GF</t>
  </si>
  <si>
    <t>Accu. grp</t>
  </si>
  <si>
    <t>VV classés</t>
  </si>
  <si>
    <t>VV non classés</t>
  </si>
  <si>
    <t>Res. 2aires</t>
  </si>
  <si>
    <t>Lits</t>
  </si>
  <si>
    <t>Nb</t>
  </si>
  <si>
    <t>classés</t>
  </si>
  <si>
    <t>marchands</t>
  </si>
  <si>
    <t>Archignac</t>
  </si>
  <si>
    <t>Pays de Fénelon</t>
  </si>
  <si>
    <t>Borrèze</t>
  </si>
  <si>
    <t>Calviac en Périgord</t>
  </si>
  <si>
    <t>Carlux</t>
  </si>
  <si>
    <t>Carsac Aillac</t>
  </si>
  <si>
    <t>Jayac</t>
  </si>
  <si>
    <t>Nadaillac</t>
  </si>
  <si>
    <t>Paulin</t>
  </si>
  <si>
    <t>Pechs de l'Espérance</t>
  </si>
  <si>
    <t>Prats de Carlux</t>
  </si>
  <si>
    <t>Saint Crépin et Carlucet</t>
  </si>
  <si>
    <t>Saint Geniès</t>
  </si>
  <si>
    <t>Saint Julien de Lampon</t>
  </si>
  <si>
    <t>Sainte Mondane</t>
  </si>
  <si>
    <t>Salignac Eyvigues</t>
  </si>
  <si>
    <t>Simeyrols</t>
  </si>
  <si>
    <t>Veyrignac</t>
  </si>
  <si>
    <t>PAYS DE FENELON</t>
  </si>
  <si>
    <t>RT classés</t>
  </si>
  <si>
    <t>RT non classés</t>
  </si>
  <si>
    <t>PRL classés</t>
  </si>
  <si>
    <t>PRL non classés</t>
  </si>
  <si>
    <t>Total lits</t>
  </si>
  <si>
    <t xml:space="preserve">Total lits </t>
  </si>
  <si>
    <t>Total lits march.</t>
  </si>
  <si>
    <t>+ res. sec</t>
  </si>
  <si>
    <t>Nb lits en</t>
  </si>
  <si>
    <t xml:space="preserve"> res. ppales</t>
  </si>
  <si>
    <t>Auberge collective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</si>
</sst>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sz val="8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Continuous"/>
    </xf>
    <xf numFmtId="164" fontId="4" fillId="3" borderId="1" xfId="0" applyNumberFormat="1" applyFont="1" applyFill="1" applyBorder="1" applyAlignment="1">
      <alignment horizontal="centerContinuous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/>
    <xf numFmtId="16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center"/>
    </xf>
    <xf numFmtId="49" fontId="1" fillId="0" borderId="5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0" borderId="4" xfId="0" applyNumberFormat="1" applyFont="1" applyFill="1" applyBorder="1" applyAlignment="1">
      <alignment horizontal="center" vertical="center"/>
    </xf>
    <xf numFmtId="164" fontId="1" fillId="0" borderId="5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8443-6A27-4C59-9536-B10541B89CF7}">
  <dimension ref="A1:AX20"/>
  <sheetViews>
    <sheetView tabSelected="1" zoomScale="150" zoomScaleNormal="150" workbookViewId="0">
      <selection activeCell="AV26" sqref="AV26"/>
    </sheetView>
  </sheetViews>
  <sheetFormatPr baseColWidth="10" defaultRowHeight="15" x14ac:dyDescent="0.25"/>
  <cols>
    <col min="1" max="1" width="17.28515625" bestFit="1" customWidth="1"/>
    <col min="3" max="3" width="12.42578125" bestFit="1" customWidth="1"/>
    <col min="46" max="46" width="17.28515625" bestFit="1" customWidth="1"/>
  </cols>
  <sheetData>
    <row r="1" spans="1:50" x14ac:dyDescent="0.25">
      <c r="A1" s="23" t="s">
        <v>0</v>
      </c>
      <c r="B1" s="25" t="s">
        <v>1</v>
      </c>
      <c r="C1" s="27" t="s">
        <v>2</v>
      </c>
      <c r="D1" s="21" t="s">
        <v>3</v>
      </c>
      <c r="E1" s="22"/>
      <c r="F1" s="21" t="s">
        <v>4</v>
      </c>
      <c r="G1" s="22"/>
      <c r="H1" s="21" t="s">
        <v>42</v>
      </c>
      <c r="I1" s="22"/>
      <c r="J1" s="21" t="s">
        <v>43</v>
      </c>
      <c r="K1" s="22"/>
      <c r="L1" s="21" t="s">
        <v>5</v>
      </c>
      <c r="M1" s="22"/>
      <c r="N1" s="21" t="s">
        <v>6</v>
      </c>
      <c r="O1" s="22"/>
      <c r="P1" s="19" t="s">
        <v>44</v>
      </c>
      <c r="Q1" s="20"/>
      <c r="R1" s="19" t="s">
        <v>45</v>
      </c>
      <c r="S1" s="20"/>
      <c r="T1" s="19" t="s">
        <v>7</v>
      </c>
      <c r="U1" s="20"/>
      <c r="V1" s="19" t="s">
        <v>8</v>
      </c>
      <c r="W1" s="20"/>
      <c r="X1" s="19" t="s">
        <v>9</v>
      </c>
      <c r="Y1" s="20"/>
      <c r="Z1" s="19" t="s">
        <v>10</v>
      </c>
      <c r="AA1" s="20"/>
      <c r="AB1" s="19" t="s">
        <v>11</v>
      </c>
      <c r="AC1" s="20"/>
      <c r="AD1" s="19" t="s">
        <v>12</v>
      </c>
      <c r="AE1" s="20"/>
      <c r="AF1" s="19" t="s">
        <v>13</v>
      </c>
      <c r="AG1" s="20"/>
      <c r="AH1" s="19" t="s">
        <v>14</v>
      </c>
      <c r="AI1" s="20"/>
      <c r="AJ1" s="19" t="s">
        <v>15</v>
      </c>
      <c r="AK1" s="20"/>
      <c r="AL1" s="21" t="s">
        <v>52</v>
      </c>
      <c r="AM1" s="22"/>
      <c r="AN1" s="21" t="s">
        <v>16</v>
      </c>
      <c r="AO1" s="22"/>
      <c r="AP1" s="21" t="s">
        <v>17</v>
      </c>
      <c r="AQ1" s="22"/>
      <c r="AR1" s="21" t="s">
        <v>18</v>
      </c>
      <c r="AS1" s="22"/>
      <c r="AT1" s="27" t="s">
        <v>0</v>
      </c>
      <c r="AU1" s="12" t="s">
        <v>46</v>
      </c>
      <c r="AV1" s="12" t="s">
        <v>47</v>
      </c>
      <c r="AW1" s="17" t="s">
        <v>48</v>
      </c>
      <c r="AX1" s="15" t="s">
        <v>50</v>
      </c>
    </row>
    <row r="2" spans="1:50" x14ac:dyDescent="0.25">
      <c r="A2" s="24"/>
      <c r="B2" s="26"/>
      <c r="C2" s="28"/>
      <c r="D2" s="1" t="s">
        <v>20</v>
      </c>
      <c r="E2" s="1" t="s">
        <v>19</v>
      </c>
      <c r="F2" s="1" t="s">
        <v>20</v>
      </c>
      <c r="G2" s="1" t="s">
        <v>19</v>
      </c>
      <c r="H2" s="1" t="s">
        <v>20</v>
      </c>
      <c r="I2" s="1" t="s">
        <v>19</v>
      </c>
      <c r="J2" s="1" t="s">
        <v>20</v>
      </c>
      <c r="K2" s="1" t="s">
        <v>19</v>
      </c>
      <c r="L2" s="1" t="s">
        <v>20</v>
      </c>
      <c r="M2" s="1" t="s">
        <v>19</v>
      </c>
      <c r="N2" s="1" t="s">
        <v>20</v>
      </c>
      <c r="O2" s="1" t="s">
        <v>19</v>
      </c>
      <c r="P2" s="1" t="s">
        <v>20</v>
      </c>
      <c r="Q2" s="1" t="s">
        <v>19</v>
      </c>
      <c r="R2" s="1" t="s">
        <v>20</v>
      </c>
      <c r="S2" s="1" t="s">
        <v>19</v>
      </c>
      <c r="T2" s="1" t="s">
        <v>20</v>
      </c>
      <c r="U2" s="1" t="s">
        <v>19</v>
      </c>
      <c r="V2" s="1" t="s">
        <v>20</v>
      </c>
      <c r="W2" s="1" t="s">
        <v>19</v>
      </c>
      <c r="X2" s="1" t="s">
        <v>20</v>
      </c>
      <c r="Y2" s="1" t="s">
        <v>19</v>
      </c>
      <c r="Z2" s="1" t="s">
        <v>20</v>
      </c>
      <c r="AA2" s="1" t="s">
        <v>19</v>
      </c>
      <c r="AB2" s="1" t="s">
        <v>20</v>
      </c>
      <c r="AC2" s="1" t="s">
        <v>19</v>
      </c>
      <c r="AD2" s="1" t="s">
        <v>20</v>
      </c>
      <c r="AE2" s="1" t="s">
        <v>19</v>
      </c>
      <c r="AF2" s="1" t="s">
        <v>20</v>
      </c>
      <c r="AG2" s="1" t="s">
        <v>19</v>
      </c>
      <c r="AH2" s="1" t="s">
        <v>20</v>
      </c>
      <c r="AI2" s="1" t="s">
        <v>19</v>
      </c>
      <c r="AJ2" s="1" t="s">
        <v>20</v>
      </c>
      <c r="AK2" s="1" t="s">
        <v>19</v>
      </c>
      <c r="AL2" s="2" t="s">
        <v>20</v>
      </c>
      <c r="AM2" s="2" t="s">
        <v>19</v>
      </c>
      <c r="AN2" s="2" t="s">
        <v>20</v>
      </c>
      <c r="AO2" s="2" t="s">
        <v>19</v>
      </c>
      <c r="AP2" s="2" t="s">
        <v>20</v>
      </c>
      <c r="AQ2" s="2" t="s">
        <v>19</v>
      </c>
      <c r="AR2" s="2" t="s">
        <v>20</v>
      </c>
      <c r="AS2" s="2" t="s">
        <v>19</v>
      </c>
      <c r="AT2" s="28"/>
      <c r="AU2" s="13" t="s">
        <v>21</v>
      </c>
      <c r="AV2" s="13" t="s">
        <v>22</v>
      </c>
      <c r="AW2" s="18" t="s">
        <v>49</v>
      </c>
      <c r="AX2" s="16" t="s">
        <v>51</v>
      </c>
    </row>
    <row r="3" spans="1:50" x14ac:dyDescent="0.25">
      <c r="A3" s="6" t="s">
        <v>23</v>
      </c>
      <c r="B3" s="7">
        <v>12</v>
      </c>
      <c r="C3" s="8" t="s">
        <v>24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>
        <v>7</v>
      </c>
      <c r="U3" s="8">
        <v>40</v>
      </c>
      <c r="V3" s="8">
        <v>4</v>
      </c>
      <c r="W3" s="8">
        <v>10</v>
      </c>
      <c r="X3" s="8"/>
      <c r="Y3" s="8"/>
      <c r="Z3" s="8"/>
      <c r="AA3" s="8"/>
      <c r="AB3" s="8">
        <v>9</v>
      </c>
      <c r="AC3" s="8">
        <v>45</v>
      </c>
      <c r="AD3" s="8">
        <v>6</v>
      </c>
      <c r="AE3" s="8">
        <v>35</v>
      </c>
      <c r="AF3" s="8">
        <v>8</v>
      </c>
      <c r="AG3" s="8">
        <v>23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>
        <v>62</v>
      </c>
      <c r="AS3" s="8">
        <f t="shared" ref="AS3:AS14" si="0">AR3*5</f>
        <v>310</v>
      </c>
      <c r="AT3" s="6" t="s">
        <v>23</v>
      </c>
      <c r="AU3" s="8">
        <f t="shared" ref="AU3:AU19" si="1">E3+I3+M3+Q3+U3+W3+Y3+AA3+AC3+AI3+AM3+AO3</f>
        <v>95</v>
      </c>
      <c r="AV3" s="8">
        <f t="shared" ref="AV3:AV19" si="2">E3+G3+I3+K3+M3+O3+Q3+S3+U3+W3+Y3+AA3+AC3+AE3+AG3+AI3+AK3+AM3+AO3+AQ3</f>
        <v>153</v>
      </c>
      <c r="AW3" s="9">
        <f t="shared" ref="AW3:AW19" si="3">AV3+AS3</f>
        <v>463</v>
      </c>
      <c r="AX3" s="10">
        <v>180</v>
      </c>
    </row>
    <row r="4" spans="1:50" x14ac:dyDescent="0.25">
      <c r="A4" s="6" t="s">
        <v>25</v>
      </c>
      <c r="B4" s="7">
        <v>50</v>
      </c>
      <c r="C4" s="8" t="s">
        <v>24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5</v>
      </c>
      <c r="U4" s="8">
        <v>30</v>
      </c>
      <c r="V4" s="8">
        <v>1</v>
      </c>
      <c r="W4" s="8">
        <v>2</v>
      </c>
      <c r="X4" s="8"/>
      <c r="Y4" s="8"/>
      <c r="Z4" s="8"/>
      <c r="AA4" s="8"/>
      <c r="AB4" s="8">
        <v>6</v>
      </c>
      <c r="AC4" s="8">
        <v>31</v>
      </c>
      <c r="AD4" s="8">
        <v>1</v>
      </c>
      <c r="AE4" s="8">
        <v>18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>
        <v>89</v>
      </c>
      <c r="AS4" s="8">
        <f t="shared" si="0"/>
        <v>445</v>
      </c>
      <c r="AT4" s="6" t="s">
        <v>25</v>
      </c>
      <c r="AU4" s="8">
        <f t="shared" si="1"/>
        <v>63</v>
      </c>
      <c r="AV4" s="8">
        <f t="shared" si="2"/>
        <v>81</v>
      </c>
      <c r="AW4" s="9">
        <f t="shared" si="3"/>
        <v>526</v>
      </c>
      <c r="AX4" s="10">
        <v>165</v>
      </c>
    </row>
    <row r="5" spans="1:50" x14ac:dyDescent="0.25">
      <c r="A5" s="6" t="s">
        <v>26</v>
      </c>
      <c r="B5" s="7">
        <v>74</v>
      </c>
      <c r="C5" s="8" t="s">
        <v>24</v>
      </c>
      <c r="D5" s="8"/>
      <c r="E5" s="8"/>
      <c r="F5" s="8"/>
      <c r="G5" s="8"/>
      <c r="H5" s="8"/>
      <c r="I5" s="8"/>
      <c r="J5" s="8"/>
      <c r="K5" s="8"/>
      <c r="L5" s="8">
        <v>1</v>
      </c>
      <c r="M5" s="8">
        <v>465</v>
      </c>
      <c r="N5" s="8"/>
      <c r="O5" s="8"/>
      <c r="P5" s="8">
        <v>1</v>
      </c>
      <c r="Q5" s="8">
        <v>21</v>
      </c>
      <c r="R5" s="8">
        <v>1</v>
      </c>
      <c r="S5" s="8">
        <v>88</v>
      </c>
      <c r="T5" s="8">
        <v>7</v>
      </c>
      <c r="U5" s="8">
        <v>37</v>
      </c>
      <c r="V5" s="8"/>
      <c r="W5" s="8"/>
      <c r="X5" s="8"/>
      <c r="Y5" s="8"/>
      <c r="Z5" s="8"/>
      <c r="AA5" s="8"/>
      <c r="AB5" s="8">
        <v>7</v>
      </c>
      <c r="AC5" s="8">
        <v>26</v>
      </c>
      <c r="AD5" s="8">
        <v>9</v>
      </c>
      <c r="AE5" s="8">
        <v>49</v>
      </c>
      <c r="AF5" s="8">
        <v>1</v>
      </c>
      <c r="AG5" s="8">
        <v>4</v>
      </c>
      <c r="AH5" s="8"/>
      <c r="AI5" s="8"/>
      <c r="AJ5" s="8"/>
      <c r="AK5" s="8"/>
      <c r="AL5" s="8"/>
      <c r="AM5" s="8"/>
      <c r="AN5" s="8"/>
      <c r="AO5" s="8"/>
      <c r="AP5" s="8">
        <v>1</v>
      </c>
      <c r="AQ5" s="8">
        <v>66</v>
      </c>
      <c r="AR5" s="8">
        <v>80</v>
      </c>
      <c r="AS5" s="8">
        <f>AR5*5</f>
        <v>400</v>
      </c>
      <c r="AT5" s="6" t="s">
        <v>26</v>
      </c>
      <c r="AU5" s="8">
        <f t="shared" si="1"/>
        <v>549</v>
      </c>
      <c r="AV5" s="8">
        <f t="shared" si="2"/>
        <v>756</v>
      </c>
      <c r="AW5" s="9">
        <f t="shared" si="3"/>
        <v>1156</v>
      </c>
      <c r="AX5" s="10">
        <v>271</v>
      </c>
    </row>
    <row r="6" spans="1:50" x14ac:dyDescent="0.25">
      <c r="A6" s="6" t="s">
        <v>27</v>
      </c>
      <c r="B6" s="7">
        <v>81</v>
      </c>
      <c r="C6" s="8" t="s">
        <v>24</v>
      </c>
      <c r="D6" s="8"/>
      <c r="E6" s="8"/>
      <c r="F6" s="8">
        <v>1</v>
      </c>
      <c r="G6" s="8">
        <v>40</v>
      </c>
      <c r="H6" s="8"/>
      <c r="I6" s="8"/>
      <c r="J6" s="8"/>
      <c r="K6" s="8"/>
      <c r="L6" s="8">
        <v>1</v>
      </c>
      <c r="M6" s="8">
        <v>240</v>
      </c>
      <c r="N6" s="8"/>
      <c r="O6" s="8"/>
      <c r="P6" s="8"/>
      <c r="Q6" s="8"/>
      <c r="R6" s="8"/>
      <c r="S6" s="8"/>
      <c r="T6" s="8">
        <v>14</v>
      </c>
      <c r="U6" s="8">
        <v>77</v>
      </c>
      <c r="V6" s="8"/>
      <c r="W6" s="8"/>
      <c r="X6" s="8"/>
      <c r="Y6" s="8"/>
      <c r="Z6" s="11"/>
      <c r="AA6" s="11"/>
      <c r="AB6" s="8">
        <v>7</v>
      </c>
      <c r="AC6" s="8">
        <v>26</v>
      </c>
      <c r="AD6" s="8">
        <v>31</v>
      </c>
      <c r="AE6" s="8">
        <v>184</v>
      </c>
      <c r="AF6" s="8">
        <v>20</v>
      </c>
      <c r="AG6" s="8">
        <v>43</v>
      </c>
      <c r="AH6" s="8"/>
      <c r="AI6" s="8"/>
      <c r="AJ6" s="8"/>
      <c r="AK6" s="8"/>
      <c r="AL6" s="8"/>
      <c r="AM6" s="8"/>
      <c r="AN6" s="8"/>
      <c r="AO6" s="8"/>
      <c r="AP6" s="8"/>
      <c r="AQ6" s="8"/>
      <c r="AR6" s="8">
        <v>116</v>
      </c>
      <c r="AS6" s="8">
        <f>AR6*5</f>
        <v>580</v>
      </c>
      <c r="AT6" s="6" t="s">
        <v>27</v>
      </c>
      <c r="AU6" s="8">
        <f t="shared" si="1"/>
        <v>343</v>
      </c>
      <c r="AV6" s="8">
        <f t="shared" si="2"/>
        <v>610</v>
      </c>
      <c r="AW6" s="9">
        <f t="shared" si="3"/>
        <v>1190</v>
      </c>
      <c r="AX6" s="10">
        <v>324</v>
      </c>
    </row>
    <row r="7" spans="1:50" x14ac:dyDescent="0.25">
      <c r="A7" s="6" t="s">
        <v>28</v>
      </c>
      <c r="B7" s="7">
        <v>82</v>
      </c>
      <c r="C7" s="8" t="s">
        <v>24</v>
      </c>
      <c r="D7" s="8">
        <v>3</v>
      </c>
      <c r="E7" s="8">
        <v>148</v>
      </c>
      <c r="F7" s="8">
        <v>1</v>
      </c>
      <c r="G7" s="8">
        <v>20</v>
      </c>
      <c r="H7" s="8"/>
      <c r="I7" s="8"/>
      <c r="J7" s="8"/>
      <c r="K7" s="8"/>
      <c r="L7" s="8">
        <v>3</v>
      </c>
      <c r="M7" s="8">
        <v>1533</v>
      </c>
      <c r="N7" s="8"/>
      <c r="O7" s="8"/>
      <c r="P7" s="8"/>
      <c r="Q7" s="8"/>
      <c r="R7" s="8"/>
      <c r="S7" s="8"/>
      <c r="T7" s="8">
        <v>10</v>
      </c>
      <c r="U7" s="8">
        <v>50</v>
      </c>
      <c r="V7" s="8">
        <v>4</v>
      </c>
      <c r="W7" s="8">
        <v>9</v>
      </c>
      <c r="X7" s="8">
        <v>2</v>
      </c>
      <c r="Y7" s="8">
        <v>6</v>
      </c>
      <c r="Z7" s="8"/>
      <c r="AA7" s="8"/>
      <c r="AB7" s="8">
        <v>40</v>
      </c>
      <c r="AC7" s="8">
        <v>161</v>
      </c>
      <c r="AD7" s="8">
        <v>34</v>
      </c>
      <c r="AE7" s="8">
        <v>173</v>
      </c>
      <c r="AF7" s="8">
        <v>31</v>
      </c>
      <c r="AG7" s="8">
        <v>87</v>
      </c>
      <c r="AH7" s="8"/>
      <c r="AI7" s="8"/>
      <c r="AJ7" s="8"/>
      <c r="AK7" s="8"/>
      <c r="AL7" s="8"/>
      <c r="AM7" s="8"/>
      <c r="AN7" s="8">
        <v>1</v>
      </c>
      <c r="AO7" s="8">
        <v>86</v>
      </c>
      <c r="AP7" s="8"/>
      <c r="AQ7" s="8"/>
      <c r="AR7" s="8">
        <v>122</v>
      </c>
      <c r="AS7" s="8">
        <f>AR7*5</f>
        <v>610</v>
      </c>
      <c r="AT7" s="6" t="s">
        <v>28</v>
      </c>
      <c r="AU7" s="8">
        <f t="shared" si="1"/>
        <v>1993</v>
      </c>
      <c r="AV7" s="8">
        <f t="shared" si="2"/>
        <v>2273</v>
      </c>
      <c r="AW7" s="9">
        <f t="shared" si="3"/>
        <v>2883</v>
      </c>
      <c r="AX7" s="10">
        <v>686</v>
      </c>
    </row>
    <row r="8" spans="1:50" x14ac:dyDescent="0.25">
      <c r="A8" s="6" t="s">
        <v>29</v>
      </c>
      <c r="B8" s="7">
        <v>215</v>
      </c>
      <c r="C8" s="8" t="s">
        <v>24</v>
      </c>
      <c r="D8" s="8">
        <v>1</v>
      </c>
      <c r="E8" s="8">
        <v>28</v>
      </c>
      <c r="F8" s="8"/>
      <c r="G8" s="8"/>
      <c r="H8" s="8"/>
      <c r="I8" s="8"/>
      <c r="J8" s="8"/>
      <c r="K8" s="8"/>
      <c r="L8" s="8">
        <v>1</v>
      </c>
      <c r="M8" s="8">
        <v>39</v>
      </c>
      <c r="N8" s="8"/>
      <c r="O8" s="8"/>
      <c r="P8" s="8"/>
      <c r="Q8" s="8"/>
      <c r="R8" s="8"/>
      <c r="S8" s="8"/>
      <c r="T8" s="8">
        <v>2</v>
      </c>
      <c r="U8" s="8">
        <v>13</v>
      </c>
      <c r="V8" s="8"/>
      <c r="W8" s="8"/>
      <c r="X8" s="8"/>
      <c r="Y8" s="8"/>
      <c r="Z8" s="8"/>
      <c r="AA8" s="8"/>
      <c r="AB8" s="8">
        <v>4</v>
      </c>
      <c r="AC8" s="8">
        <v>25</v>
      </c>
      <c r="AD8" s="8">
        <v>18</v>
      </c>
      <c r="AE8" s="8">
        <v>118</v>
      </c>
      <c r="AF8" s="8">
        <v>5</v>
      </c>
      <c r="AG8" s="8">
        <v>14</v>
      </c>
      <c r="AH8" s="8"/>
      <c r="AI8" s="8"/>
      <c r="AJ8" s="8"/>
      <c r="AK8" s="8"/>
      <c r="AL8" s="8"/>
      <c r="AM8" s="8"/>
      <c r="AN8" s="8"/>
      <c r="AO8" s="8"/>
      <c r="AP8" s="8"/>
      <c r="AQ8" s="8"/>
      <c r="AR8" s="8">
        <v>15</v>
      </c>
      <c r="AS8" s="8">
        <f t="shared" si="0"/>
        <v>75</v>
      </c>
      <c r="AT8" s="6" t="s">
        <v>29</v>
      </c>
      <c r="AU8" s="8">
        <f t="shared" si="1"/>
        <v>105</v>
      </c>
      <c r="AV8" s="8">
        <f t="shared" si="2"/>
        <v>237</v>
      </c>
      <c r="AW8" s="9">
        <f t="shared" si="3"/>
        <v>312</v>
      </c>
      <c r="AX8" s="10">
        <v>92</v>
      </c>
    </row>
    <row r="9" spans="1:50" x14ac:dyDescent="0.25">
      <c r="A9" s="6" t="s">
        <v>30</v>
      </c>
      <c r="B9" s="7">
        <v>301</v>
      </c>
      <c r="C9" s="8" t="s">
        <v>24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2</v>
      </c>
      <c r="U9" s="8">
        <v>12</v>
      </c>
      <c r="V9" s="8"/>
      <c r="W9" s="8"/>
      <c r="X9" s="8"/>
      <c r="Y9" s="8"/>
      <c r="Z9" s="8"/>
      <c r="AA9" s="8"/>
      <c r="AB9" s="8">
        <v>7</v>
      </c>
      <c r="AC9" s="8">
        <v>52</v>
      </c>
      <c r="AD9" s="8">
        <v>2</v>
      </c>
      <c r="AE9" s="8">
        <v>24</v>
      </c>
      <c r="AF9" s="8">
        <v>5</v>
      </c>
      <c r="AG9" s="8">
        <v>10</v>
      </c>
      <c r="AH9" s="8"/>
      <c r="AI9" s="8"/>
      <c r="AJ9" s="8"/>
      <c r="AK9" s="8"/>
      <c r="AL9" s="8"/>
      <c r="AM9" s="8"/>
      <c r="AN9" s="8"/>
      <c r="AO9" s="8"/>
      <c r="AP9" s="8"/>
      <c r="AQ9" s="8"/>
      <c r="AR9" s="8">
        <v>46</v>
      </c>
      <c r="AS9" s="8">
        <f t="shared" si="0"/>
        <v>230</v>
      </c>
      <c r="AT9" s="6" t="s">
        <v>30</v>
      </c>
      <c r="AU9" s="8">
        <f t="shared" si="1"/>
        <v>64</v>
      </c>
      <c r="AV9" s="8">
        <f t="shared" si="2"/>
        <v>98</v>
      </c>
      <c r="AW9" s="9">
        <f t="shared" si="3"/>
        <v>328</v>
      </c>
      <c r="AX9" s="10">
        <v>177</v>
      </c>
    </row>
    <row r="10" spans="1:50" x14ac:dyDescent="0.25">
      <c r="A10" s="6" t="s">
        <v>31</v>
      </c>
      <c r="B10" s="7">
        <v>317</v>
      </c>
      <c r="C10" s="8" t="s">
        <v>24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7</v>
      </c>
      <c r="U10" s="8">
        <v>37</v>
      </c>
      <c r="V10" s="8"/>
      <c r="W10" s="8"/>
      <c r="X10" s="8">
        <v>3</v>
      </c>
      <c r="Y10" s="8">
        <v>12</v>
      </c>
      <c r="Z10" s="8"/>
      <c r="AA10" s="8"/>
      <c r="AB10" s="8">
        <v>2</v>
      </c>
      <c r="AC10" s="8">
        <v>14</v>
      </c>
      <c r="AD10" s="8">
        <v>3</v>
      </c>
      <c r="AE10" s="8">
        <v>19</v>
      </c>
      <c r="AF10" s="8">
        <v>8</v>
      </c>
      <c r="AG10" s="8">
        <v>22</v>
      </c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>
        <v>25</v>
      </c>
      <c r="AS10" s="8">
        <f t="shared" si="0"/>
        <v>125</v>
      </c>
      <c r="AT10" s="6" t="s">
        <v>31</v>
      </c>
      <c r="AU10" s="8">
        <f t="shared" si="1"/>
        <v>63</v>
      </c>
      <c r="AV10" s="8">
        <f t="shared" si="2"/>
        <v>104</v>
      </c>
      <c r="AW10" s="9">
        <f t="shared" si="3"/>
        <v>229</v>
      </c>
      <c r="AX10" s="10">
        <v>122</v>
      </c>
    </row>
    <row r="11" spans="1:50" x14ac:dyDescent="0.25">
      <c r="A11" s="6" t="s">
        <v>32</v>
      </c>
      <c r="B11" s="7">
        <v>314</v>
      </c>
      <c r="C11" s="8" t="s">
        <v>24</v>
      </c>
      <c r="D11" s="8"/>
      <c r="E11" s="8"/>
      <c r="F11" s="8"/>
      <c r="G11" s="8"/>
      <c r="H11" s="8"/>
      <c r="I11" s="8"/>
      <c r="J11" s="8"/>
      <c r="K11" s="8"/>
      <c r="L11" s="8">
        <v>2</v>
      </c>
      <c r="M11" s="8">
        <v>594</v>
      </c>
      <c r="N11" s="8">
        <v>1</v>
      </c>
      <c r="O11" s="8">
        <v>75</v>
      </c>
      <c r="P11" s="8"/>
      <c r="Q11" s="8"/>
      <c r="R11" s="8"/>
      <c r="S11" s="8"/>
      <c r="T11" s="8">
        <v>2</v>
      </c>
      <c r="U11" s="8">
        <v>8</v>
      </c>
      <c r="V11" s="8"/>
      <c r="W11" s="8"/>
      <c r="X11" s="8">
        <v>1</v>
      </c>
      <c r="Y11" s="8">
        <v>8</v>
      </c>
      <c r="Z11" s="8"/>
      <c r="AA11" s="8"/>
      <c r="AB11" s="8">
        <v>19</v>
      </c>
      <c r="AC11" s="8">
        <v>106</v>
      </c>
      <c r="AD11" s="8">
        <v>17</v>
      </c>
      <c r="AE11" s="8">
        <v>113</v>
      </c>
      <c r="AF11" s="8">
        <v>2</v>
      </c>
      <c r="AG11" s="8">
        <v>5</v>
      </c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>
        <v>150</v>
      </c>
      <c r="AS11" s="8">
        <f>AR11*5</f>
        <v>750</v>
      </c>
      <c r="AT11" s="6" t="s">
        <v>32</v>
      </c>
      <c r="AU11" s="8">
        <f t="shared" si="1"/>
        <v>716</v>
      </c>
      <c r="AV11" s="8">
        <f t="shared" si="2"/>
        <v>909</v>
      </c>
      <c r="AW11" s="9">
        <f t="shared" si="3"/>
        <v>1659</v>
      </c>
      <c r="AX11" s="10">
        <v>404</v>
      </c>
    </row>
    <row r="12" spans="1:50" x14ac:dyDescent="0.25">
      <c r="A12" s="6" t="s">
        <v>33</v>
      </c>
      <c r="B12" s="7">
        <v>336</v>
      </c>
      <c r="C12" s="8" t="s">
        <v>24</v>
      </c>
      <c r="D12" s="8"/>
      <c r="E12" s="8"/>
      <c r="F12" s="8"/>
      <c r="G12" s="8"/>
      <c r="H12" s="8"/>
      <c r="I12" s="8"/>
      <c r="J12" s="8"/>
      <c r="K12" s="8"/>
      <c r="L12" s="8">
        <v>1</v>
      </c>
      <c r="M12" s="8">
        <v>750</v>
      </c>
      <c r="N12" s="8"/>
      <c r="O12" s="8"/>
      <c r="P12" s="8"/>
      <c r="Q12" s="8"/>
      <c r="R12" s="8"/>
      <c r="S12" s="8"/>
      <c r="T12" s="8">
        <v>7</v>
      </c>
      <c r="U12" s="8">
        <v>47</v>
      </c>
      <c r="V12" s="8"/>
      <c r="W12" s="8"/>
      <c r="X12" s="8"/>
      <c r="Y12" s="8"/>
      <c r="Z12" s="8"/>
      <c r="AA12" s="8"/>
      <c r="AB12" s="8">
        <v>20</v>
      </c>
      <c r="AC12" s="8">
        <v>102</v>
      </c>
      <c r="AD12" s="8">
        <v>13</v>
      </c>
      <c r="AE12" s="8">
        <v>90</v>
      </c>
      <c r="AF12" s="8">
        <v>7</v>
      </c>
      <c r="AG12" s="8">
        <v>14</v>
      </c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>
        <v>16</v>
      </c>
      <c r="AS12" s="8">
        <f>AR12*5</f>
        <v>80</v>
      </c>
      <c r="AT12" s="6" t="s">
        <v>33</v>
      </c>
      <c r="AU12" s="8">
        <f t="shared" si="1"/>
        <v>899</v>
      </c>
      <c r="AV12" s="8">
        <f t="shared" si="2"/>
        <v>1003</v>
      </c>
      <c r="AW12" s="9">
        <f t="shared" si="3"/>
        <v>1083</v>
      </c>
      <c r="AX12" s="10">
        <v>221</v>
      </c>
    </row>
    <row r="13" spans="1:50" x14ac:dyDescent="0.25">
      <c r="A13" s="6" t="s">
        <v>34</v>
      </c>
      <c r="B13" s="7">
        <v>392</v>
      </c>
      <c r="C13" s="8" t="s">
        <v>24</v>
      </c>
      <c r="D13" s="8"/>
      <c r="E13" s="8"/>
      <c r="F13" s="8"/>
      <c r="G13" s="8"/>
      <c r="H13" s="8"/>
      <c r="I13" s="8"/>
      <c r="J13" s="8"/>
      <c r="K13" s="8"/>
      <c r="L13" s="8">
        <v>2</v>
      </c>
      <c r="M13" s="8">
        <v>1216</v>
      </c>
      <c r="N13" s="8"/>
      <c r="O13" s="8"/>
      <c r="P13" s="8"/>
      <c r="Q13" s="8"/>
      <c r="R13" s="8"/>
      <c r="S13" s="8"/>
      <c r="T13" s="8">
        <v>10</v>
      </c>
      <c r="U13" s="8">
        <v>54</v>
      </c>
      <c r="V13" s="8"/>
      <c r="W13" s="8"/>
      <c r="X13" s="8"/>
      <c r="Y13" s="8"/>
      <c r="Z13" s="8"/>
      <c r="AA13" s="8"/>
      <c r="AB13" s="8">
        <v>43</v>
      </c>
      <c r="AC13" s="8">
        <v>213</v>
      </c>
      <c r="AD13" s="8">
        <v>36</v>
      </c>
      <c r="AE13" s="8">
        <v>199</v>
      </c>
      <c r="AF13" s="8">
        <v>9</v>
      </c>
      <c r="AG13" s="8">
        <v>21</v>
      </c>
      <c r="AH13" s="8"/>
      <c r="AI13" s="8"/>
      <c r="AJ13" s="8"/>
      <c r="AK13" s="8"/>
      <c r="AL13" s="8"/>
      <c r="AM13" s="8"/>
      <c r="AN13" s="8"/>
      <c r="AO13" s="8"/>
      <c r="AP13" s="8">
        <v>1</v>
      </c>
      <c r="AQ13" s="8">
        <v>50</v>
      </c>
      <c r="AR13" s="8">
        <v>48</v>
      </c>
      <c r="AS13" s="8">
        <f t="shared" si="0"/>
        <v>240</v>
      </c>
      <c r="AT13" s="6" t="s">
        <v>34</v>
      </c>
      <c r="AU13" s="8">
        <f t="shared" si="1"/>
        <v>1483</v>
      </c>
      <c r="AV13" s="8">
        <f t="shared" si="2"/>
        <v>1753</v>
      </c>
      <c r="AW13" s="9">
        <f t="shared" si="3"/>
        <v>1993</v>
      </c>
      <c r="AX13" s="10">
        <v>244</v>
      </c>
    </row>
    <row r="14" spans="1:50" x14ac:dyDescent="0.25">
      <c r="A14" s="6" t="s">
        <v>35</v>
      </c>
      <c r="B14" s="7">
        <v>412</v>
      </c>
      <c r="C14" s="8" t="s">
        <v>24</v>
      </c>
      <c r="D14" s="8">
        <v>1</v>
      </c>
      <c r="E14" s="8">
        <v>21</v>
      </c>
      <c r="F14" s="8"/>
      <c r="G14" s="8"/>
      <c r="H14" s="8"/>
      <c r="I14" s="8"/>
      <c r="J14" s="8"/>
      <c r="K14" s="8"/>
      <c r="L14" s="8">
        <v>1</v>
      </c>
      <c r="M14" s="8">
        <v>609</v>
      </c>
      <c r="N14" s="8"/>
      <c r="O14" s="8"/>
      <c r="P14" s="8"/>
      <c r="Q14" s="8"/>
      <c r="R14" s="8"/>
      <c r="S14" s="8"/>
      <c r="T14" s="8">
        <v>9</v>
      </c>
      <c r="U14" s="8">
        <v>57</v>
      </c>
      <c r="V14" s="8"/>
      <c r="W14" s="8"/>
      <c r="X14" s="8">
        <v>2</v>
      </c>
      <c r="Y14" s="8">
        <v>13</v>
      </c>
      <c r="Z14" s="8"/>
      <c r="AA14" s="8"/>
      <c r="AB14" s="8">
        <v>22</v>
      </c>
      <c r="AC14" s="8">
        <v>139</v>
      </c>
      <c r="AD14" s="8">
        <v>32</v>
      </c>
      <c r="AE14" s="8">
        <v>184</v>
      </c>
      <c r="AF14" s="8">
        <v>16</v>
      </c>
      <c r="AG14" s="8">
        <v>44</v>
      </c>
      <c r="AH14" s="8"/>
      <c r="AI14" s="8"/>
      <c r="AJ14" s="8">
        <v>1</v>
      </c>
      <c r="AK14" s="8">
        <v>88</v>
      </c>
      <c r="AL14" s="8"/>
      <c r="AM14" s="8"/>
      <c r="AN14" s="8">
        <v>1</v>
      </c>
      <c r="AO14" s="8">
        <v>88</v>
      </c>
      <c r="AP14" s="8">
        <v>1</v>
      </c>
      <c r="AQ14" s="8">
        <v>336</v>
      </c>
      <c r="AR14" s="8">
        <v>234</v>
      </c>
      <c r="AS14" s="8">
        <f t="shared" si="0"/>
        <v>1170</v>
      </c>
      <c r="AT14" s="6" t="s">
        <v>35</v>
      </c>
      <c r="AU14" s="8">
        <f t="shared" si="1"/>
        <v>927</v>
      </c>
      <c r="AV14" s="8">
        <f t="shared" si="2"/>
        <v>1579</v>
      </c>
      <c r="AW14" s="9">
        <f t="shared" si="3"/>
        <v>2749</v>
      </c>
      <c r="AX14" s="10">
        <v>440</v>
      </c>
    </row>
    <row r="15" spans="1:50" x14ac:dyDescent="0.25">
      <c r="A15" s="6" t="s">
        <v>36</v>
      </c>
      <c r="B15" s="7">
        <v>432</v>
      </c>
      <c r="C15" s="8" t="s">
        <v>24</v>
      </c>
      <c r="D15" s="8"/>
      <c r="E15" s="8"/>
      <c r="F15" s="8"/>
      <c r="G15" s="8"/>
      <c r="H15" s="8"/>
      <c r="I15" s="8"/>
      <c r="J15" s="8"/>
      <c r="K15" s="8"/>
      <c r="L15" s="8">
        <v>2</v>
      </c>
      <c r="M15" s="8">
        <v>672</v>
      </c>
      <c r="N15" s="8"/>
      <c r="O15" s="8"/>
      <c r="P15" s="8"/>
      <c r="Q15" s="8"/>
      <c r="R15" s="8"/>
      <c r="S15" s="8"/>
      <c r="T15" s="8">
        <v>6</v>
      </c>
      <c r="U15" s="8">
        <v>20</v>
      </c>
      <c r="V15" s="8">
        <v>1</v>
      </c>
      <c r="W15" s="8">
        <v>2</v>
      </c>
      <c r="X15" s="8">
        <v>3</v>
      </c>
      <c r="Y15" s="8">
        <v>17</v>
      </c>
      <c r="Z15" s="8"/>
      <c r="AA15" s="8"/>
      <c r="AB15" s="8">
        <v>10</v>
      </c>
      <c r="AC15" s="8">
        <v>42</v>
      </c>
      <c r="AD15" s="8">
        <v>12</v>
      </c>
      <c r="AE15" s="8">
        <v>75</v>
      </c>
      <c r="AF15" s="8">
        <v>9</v>
      </c>
      <c r="AG15" s="8">
        <v>18</v>
      </c>
      <c r="AH15" s="8">
        <v>1</v>
      </c>
      <c r="AI15" s="8">
        <v>21</v>
      </c>
      <c r="AJ15" s="8"/>
      <c r="AK15" s="8"/>
      <c r="AL15" s="8"/>
      <c r="AM15" s="8"/>
      <c r="AN15" s="8"/>
      <c r="AO15" s="8"/>
      <c r="AP15" s="8"/>
      <c r="AQ15" s="8"/>
      <c r="AR15" s="8">
        <v>111</v>
      </c>
      <c r="AS15" s="8">
        <f>AR15*5</f>
        <v>555</v>
      </c>
      <c r="AT15" s="6" t="s">
        <v>36</v>
      </c>
      <c r="AU15" s="8">
        <f t="shared" si="1"/>
        <v>774</v>
      </c>
      <c r="AV15" s="8">
        <f t="shared" si="2"/>
        <v>867</v>
      </c>
      <c r="AW15" s="9">
        <f t="shared" si="3"/>
        <v>1422</v>
      </c>
      <c r="AX15" s="10">
        <v>331</v>
      </c>
    </row>
    <row r="16" spans="1:50" x14ac:dyDescent="0.25">
      <c r="A16" s="6" t="s">
        <v>37</v>
      </c>
      <c r="B16" s="7">
        <v>470</v>
      </c>
      <c r="C16" s="8" t="s">
        <v>24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>
        <v>1</v>
      </c>
      <c r="O16" s="8">
        <v>48</v>
      </c>
      <c r="P16" s="8"/>
      <c r="Q16" s="8"/>
      <c r="R16" s="8"/>
      <c r="S16" s="8"/>
      <c r="T16" s="8">
        <v>6</v>
      </c>
      <c r="U16" s="8">
        <v>34</v>
      </c>
      <c r="V16" s="8"/>
      <c r="W16" s="8"/>
      <c r="X16" s="8"/>
      <c r="Y16" s="8"/>
      <c r="Z16" s="8"/>
      <c r="AA16" s="8"/>
      <c r="AB16" s="8">
        <v>6</v>
      </c>
      <c r="AC16" s="8">
        <v>34</v>
      </c>
      <c r="AD16" s="8">
        <v>18</v>
      </c>
      <c r="AE16" s="8">
        <v>128</v>
      </c>
      <c r="AF16" s="8">
        <v>5</v>
      </c>
      <c r="AG16" s="8">
        <v>16</v>
      </c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>
        <v>33</v>
      </c>
      <c r="AS16" s="8">
        <f>AR16*5</f>
        <v>165</v>
      </c>
      <c r="AT16" s="6" t="s">
        <v>37</v>
      </c>
      <c r="AU16" s="8">
        <f t="shared" si="1"/>
        <v>68</v>
      </c>
      <c r="AV16" s="8">
        <f t="shared" si="2"/>
        <v>260</v>
      </c>
      <c r="AW16" s="9">
        <f t="shared" si="3"/>
        <v>425</v>
      </c>
      <c r="AX16" s="10">
        <v>139</v>
      </c>
    </row>
    <row r="17" spans="1:50" x14ac:dyDescent="0.25">
      <c r="A17" s="6" t="s">
        <v>38</v>
      </c>
      <c r="B17" s="7">
        <v>516</v>
      </c>
      <c r="C17" s="8" t="s">
        <v>24</v>
      </c>
      <c r="D17" s="8"/>
      <c r="E17" s="8"/>
      <c r="F17" s="8"/>
      <c r="G17" s="8"/>
      <c r="H17" s="8"/>
      <c r="I17" s="8"/>
      <c r="J17" s="8"/>
      <c r="K17" s="8"/>
      <c r="L17" s="8">
        <v>2</v>
      </c>
      <c r="M17" s="8">
        <v>783</v>
      </c>
      <c r="N17" s="8"/>
      <c r="O17" s="8"/>
      <c r="P17" s="8"/>
      <c r="Q17" s="8"/>
      <c r="R17" s="8"/>
      <c r="S17" s="8"/>
      <c r="T17" s="8">
        <v>3</v>
      </c>
      <c r="U17" s="8">
        <v>15</v>
      </c>
      <c r="V17" s="8"/>
      <c r="W17" s="8"/>
      <c r="X17" s="8">
        <v>2</v>
      </c>
      <c r="Y17" s="8">
        <v>10</v>
      </c>
      <c r="Z17" s="8"/>
      <c r="AA17" s="8"/>
      <c r="AB17" s="8">
        <v>27</v>
      </c>
      <c r="AC17" s="8">
        <v>137</v>
      </c>
      <c r="AD17" s="8">
        <v>24</v>
      </c>
      <c r="AE17" s="8">
        <v>112</v>
      </c>
      <c r="AF17" s="8">
        <v>24</v>
      </c>
      <c r="AG17" s="8">
        <v>57</v>
      </c>
      <c r="AH17" s="8"/>
      <c r="AI17" s="8"/>
      <c r="AJ17" s="8">
        <v>1</v>
      </c>
      <c r="AK17" s="8">
        <v>110</v>
      </c>
      <c r="AL17" s="8"/>
      <c r="AM17" s="8"/>
      <c r="AN17" s="8"/>
      <c r="AO17" s="8"/>
      <c r="AP17" s="8"/>
      <c r="AQ17" s="8"/>
      <c r="AR17" s="8">
        <v>101</v>
      </c>
      <c r="AS17" s="8">
        <f>AR17*5</f>
        <v>505</v>
      </c>
      <c r="AT17" s="6" t="s">
        <v>38</v>
      </c>
      <c r="AU17" s="8">
        <f t="shared" si="1"/>
        <v>945</v>
      </c>
      <c r="AV17" s="8">
        <f t="shared" si="2"/>
        <v>1224</v>
      </c>
      <c r="AW17" s="9">
        <f t="shared" si="3"/>
        <v>1729</v>
      </c>
      <c r="AX17" s="10">
        <v>555</v>
      </c>
    </row>
    <row r="18" spans="1:50" x14ac:dyDescent="0.25">
      <c r="A18" s="6" t="s">
        <v>39</v>
      </c>
      <c r="B18" s="7">
        <v>535</v>
      </c>
      <c r="C18" s="8" t="s">
        <v>24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>
        <v>1</v>
      </c>
      <c r="O18" s="8">
        <v>24</v>
      </c>
      <c r="P18" s="8"/>
      <c r="Q18" s="8"/>
      <c r="R18" s="8"/>
      <c r="S18" s="8"/>
      <c r="T18" s="8">
        <v>2</v>
      </c>
      <c r="U18" s="8">
        <v>6</v>
      </c>
      <c r="V18" s="8"/>
      <c r="W18" s="8"/>
      <c r="X18" s="8"/>
      <c r="Y18" s="8"/>
      <c r="Z18" s="8"/>
      <c r="AA18" s="8"/>
      <c r="AB18" s="8">
        <v>9</v>
      </c>
      <c r="AC18" s="8">
        <v>59</v>
      </c>
      <c r="AD18" s="8">
        <v>13</v>
      </c>
      <c r="AE18" s="8">
        <v>63</v>
      </c>
      <c r="AF18" s="8">
        <v>9</v>
      </c>
      <c r="AG18" s="8">
        <v>18</v>
      </c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>
        <v>38</v>
      </c>
      <c r="AS18" s="8">
        <f>AR18*5</f>
        <v>190</v>
      </c>
      <c r="AT18" s="6" t="s">
        <v>39</v>
      </c>
      <c r="AU18" s="8">
        <f t="shared" si="1"/>
        <v>65</v>
      </c>
      <c r="AV18" s="8">
        <f t="shared" si="2"/>
        <v>170</v>
      </c>
      <c r="AW18" s="9">
        <f t="shared" si="3"/>
        <v>360</v>
      </c>
      <c r="AX18" s="10">
        <v>119</v>
      </c>
    </row>
    <row r="19" spans="1:50" x14ac:dyDescent="0.25">
      <c r="A19" s="6" t="s">
        <v>40</v>
      </c>
      <c r="B19" s="7">
        <v>574</v>
      </c>
      <c r="C19" s="8" t="s">
        <v>24</v>
      </c>
      <c r="D19" s="8"/>
      <c r="E19" s="8"/>
      <c r="F19" s="8"/>
      <c r="G19" s="8"/>
      <c r="H19" s="8"/>
      <c r="I19" s="8"/>
      <c r="J19" s="8"/>
      <c r="K19" s="8"/>
      <c r="L19" s="8">
        <v>1</v>
      </c>
      <c r="M19" s="8">
        <v>117</v>
      </c>
      <c r="N19" s="8"/>
      <c r="O19" s="8"/>
      <c r="P19" s="8"/>
      <c r="Q19" s="8"/>
      <c r="R19" s="8"/>
      <c r="S19" s="8"/>
      <c r="T19" s="8">
        <v>3</v>
      </c>
      <c r="U19" s="8">
        <v>18</v>
      </c>
      <c r="V19" s="8"/>
      <c r="W19" s="8"/>
      <c r="X19" s="8">
        <v>3</v>
      </c>
      <c r="Y19" s="8">
        <v>6</v>
      </c>
      <c r="Z19" s="11"/>
      <c r="AA19" s="11"/>
      <c r="AB19" s="8">
        <v>23</v>
      </c>
      <c r="AC19" s="8">
        <v>106</v>
      </c>
      <c r="AD19" s="8">
        <v>4</v>
      </c>
      <c r="AE19" s="8">
        <v>23</v>
      </c>
      <c r="AF19" s="8">
        <v>3</v>
      </c>
      <c r="AG19" s="8">
        <v>6</v>
      </c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>
        <v>42</v>
      </c>
      <c r="AS19" s="8">
        <f>AR19*5</f>
        <v>210</v>
      </c>
      <c r="AT19" s="6" t="s">
        <v>40</v>
      </c>
      <c r="AU19" s="8">
        <f t="shared" si="1"/>
        <v>247</v>
      </c>
      <c r="AV19" s="8">
        <f t="shared" si="2"/>
        <v>276</v>
      </c>
      <c r="AW19" s="9">
        <f t="shared" si="3"/>
        <v>486</v>
      </c>
      <c r="AX19" s="10">
        <v>153</v>
      </c>
    </row>
    <row r="20" spans="1:50" x14ac:dyDescent="0.25">
      <c r="A20" s="3" t="s">
        <v>41</v>
      </c>
      <c r="B20" s="4"/>
      <c r="C20" s="3"/>
      <c r="D20" s="5">
        <f t="shared" ref="D20:AS20" si="4">SUM(D3:D19)</f>
        <v>5</v>
      </c>
      <c r="E20" s="5">
        <f t="shared" si="4"/>
        <v>197</v>
      </c>
      <c r="F20" s="5">
        <f t="shared" si="4"/>
        <v>2</v>
      </c>
      <c r="G20" s="5">
        <f t="shared" si="4"/>
        <v>60</v>
      </c>
      <c r="H20" s="5">
        <f t="shared" si="4"/>
        <v>0</v>
      </c>
      <c r="I20" s="5">
        <f t="shared" si="4"/>
        <v>0</v>
      </c>
      <c r="J20" s="5">
        <f t="shared" si="4"/>
        <v>0</v>
      </c>
      <c r="K20" s="5">
        <f t="shared" si="4"/>
        <v>0</v>
      </c>
      <c r="L20" s="5">
        <f t="shared" si="4"/>
        <v>17</v>
      </c>
      <c r="M20" s="5">
        <f t="shared" si="4"/>
        <v>7018</v>
      </c>
      <c r="N20" s="5">
        <f t="shared" si="4"/>
        <v>3</v>
      </c>
      <c r="O20" s="5">
        <f t="shared" si="4"/>
        <v>147</v>
      </c>
      <c r="P20" s="5">
        <f t="shared" si="4"/>
        <v>1</v>
      </c>
      <c r="Q20" s="5">
        <f t="shared" si="4"/>
        <v>21</v>
      </c>
      <c r="R20" s="5">
        <f t="shared" si="4"/>
        <v>1</v>
      </c>
      <c r="S20" s="5">
        <f t="shared" si="4"/>
        <v>88</v>
      </c>
      <c r="T20" s="5">
        <f t="shared" si="4"/>
        <v>102</v>
      </c>
      <c r="U20" s="5">
        <f t="shared" si="4"/>
        <v>555</v>
      </c>
      <c r="V20" s="5">
        <f t="shared" si="4"/>
        <v>10</v>
      </c>
      <c r="W20" s="5">
        <f t="shared" si="4"/>
        <v>23</v>
      </c>
      <c r="X20" s="5">
        <f t="shared" si="4"/>
        <v>16</v>
      </c>
      <c r="Y20" s="5">
        <f t="shared" si="4"/>
        <v>72</v>
      </c>
      <c r="Z20" s="5">
        <f t="shared" si="4"/>
        <v>0</v>
      </c>
      <c r="AA20" s="5">
        <f t="shared" si="4"/>
        <v>0</v>
      </c>
      <c r="AB20" s="5">
        <f t="shared" si="4"/>
        <v>261</v>
      </c>
      <c r="AC20" s="5">
        <f t="shared" si="4"/>
        <v>1318</v>
      </c>
      <c r="AD20" s="5">
        <f t="shared" si="4"/>
        <v>273</v>
      </c>
      <c r="AE20" s="5">
        <f t="shared" si="4"/>
        <v>1607</v>
      </c>
      <c r="AF20" s="5">
        <f t="shared" si="4"/>
        <v>162</v>
      </c>
      <c r="AG20" s="5">
        <f t="shared" si="4"/>
        <v>402</v>
      </c>
      <c r="AH20" s="5">
        <f t="shared" si="4"/>
        <v>1</v>
      </c>
      <c r="AI20" s="5">
        <f t="shared" si="4"/>
        <v>21</v>
      </c>
      <c r="AJ20" s="5">
        <f t="shared" si="4"/>
        <v>2</v>
      </c>
      <c r="AK20" s="5">
        <f t="shared" si="4"/>
        <v>198</v>
      </c>
      <c r="AL20" s="5">
        <f t="shared" si="4"/>
        <v>0</v>
      </c>
      <c r="AM20" s="5">
        <f t="shared" si="4"/>
        <v>0</v>
      </c>
      <c r="AN20" s="5">
        <f t="shared" si="4"/>
        <v>2</v>
      </c>
      <c r="AO20" s="5">
        <f t="shared" si="4"/>
        <v>174</v>
      </c>
      <c r="AP20" s="5">
        <f>SUM(AP3:AP19)</f>
        <v>3</v>
      </c>
      <c r="AQ20" s="5">
        <f>SUM(AQ3:AQ19)</f>
        <v>452</v>
      </c>
      <c r="AR20" s="5">
        <f t="shared" si="4"/>
        <v>1328</v>
      </c>
      <c r="AS20" s="5">
        <f t="shared" si="4"/>
        <v>6640</v>
      </c>
      <c r="AT20" s="14" t="s">
        <v>41</v>
      </c>
      <c r="AU20" s="5">
        <f t="shared" ref="AU20:AX20" si="5">SUM(AU3:AU19)</f>
        <v>9399</v>
      </c>
      <c r="AV20" s="5">
        <f t="shared" si="5"/>
        <v>12353</v>
      </c>
      <c r="AW20" s="14">
        <f t="shared" si="5"/>
        <v>18993</v>
      </c>
      <c r="AX20" s="14">
        <f t="shared" si="5"/>
        <v>4623</v>
      </c>
    </row>
  </sheetData>
  <mergeCells count="25">
    <mergeCell ref="H1:I1"/>
    <mergeCell ref="A1:A2"/>
    <mergeCell ref="B1:B2"/>
    <mergeCell ref="C1:C2"/>
    <mergeCell ref="D1:E1"/>
    <mergeCell ref="F1:G1"/>
    <mergeCell ref="AF1:AG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T1:AT2"/>
    <mergeCell ref="AH1:AI1"/>
    <mergeCell ref="AJ1:AK1"/>
    <mergeCell ref="AL1:AM1"/>
    <mergeCell ref="AN1:AO1"/>
    <mergeCell ref="AP1:AQ1"/>
    <mergeCell ref="AR1:A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EPCI Pays de Fénelon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 DARPHEL</dc:creator>
  <cp:lastModifiedBy>Sandrine DARPHEL</cp:lastModifiedBy>
  <cp:lastPrinted>2026-03-31T13:13:58Z</cp:lastPrinted>
  <dcterms:created xsi:type="dcterms:W3CDTF">2025-04-17T08:51:52Z</dcterms:created>
  <dcterms:modified xsi:type="dcterms:W3CDTF">2026-04-28T14:35:30Z</dcterms:modified>
</cp:coreProperties>
</file>