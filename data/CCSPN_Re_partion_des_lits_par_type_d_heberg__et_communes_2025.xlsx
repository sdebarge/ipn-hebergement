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darphel\Desktop\Sandrine DARPHEL\Documents\Mes documents\Recensements communes\Données 2025\"/>
    </mc:Choice>
  </mc:AlternateContent>
  <xr:revisionPtr revIDLastSave="0" documentId="13_ncr:1_{2826E074-FBA7-41B5-A268-CE2F708F347A}" xr6:coauthVersionLast="36" xr6:coauthVersionMax="36" xr10:uidLastSave="{00000000-0000-0000-0000-000000000000}"/>
  <bookViews>
    <workbookView xWindow="0" yWindow="0" windowWidth="28800" windowHeight="11805" xr2:uid="{A55CE800-9077-445A-8BD0-7039073A31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16" i="1" l="1"/>
  <c r="AX4" i="1" l="1"/>
  <c r="AX5" i="1"/>
  <c r="AX6" i="1"/>
  <c r="AX7" i="1"/>
  <c r="AX8" i="1"/>
  <c r="AX9" i="1"/>
  <c r="AX10" i="1"/>
  <c r="AX11" i="1"/>
  <c r="AX12" i="1"/>
  <c r="AX13" i="1"/>
  <c r="AX14" i="1"/>
  <c r="AX15" i="1"/>
  <c r="AW4" i="1"/>
  <c r="AW5" i="1"/>
  <c r="AW6" i="1"/>
  <c r="AW7" i="1"/>
  <c r="AW8" i="1"/>
  <c r="AW9" i="1"/>
  <c r="AW10" i="1"/>
  <c r="AW11" i="1"/>
  <c r="AW12" i="1"/>
  <c r="AW13" i="1"/>
  <c r="AW14" i="1"/>
  <c r="AW15" i="1"/>
  <c r="AX3" i="1"/>
  <c r="AW3" i="1"/>
  <c r="S16" i="1" l="1"/>
  <c r="R16" i="1"/>
  <c r="K16" i="1"/>
  <c r="J16" i="1"/>
  <c r="AZ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Q16" i="1"/>
  <c r="P16" i="1"/>
  <c r="O16" i="1"/>
  <c r="N16" i="1"/>
  <c r="M16" i="1"/>
  <c r="L16" i="1"/>
  <c r="I16" i="1"/>
  <c r="H16" i="1"/>
  <c r="G16" i="1"/>
  <c r="F16" i="1"/>
  <c r="E16" i="1"/>
  <c r="D16" i="1"/>
  <c r="AS15" i="1"/>
  <c r="AS14" i="1"/>
  <c r="AS13" i="1"/>
  <c r="AS12" i="1"/>
  <c r="AS11" i="1"/>
  <c r="AS10" i="1"/>
  <c r="AY10" i="1" s="1"/>
  <c r="AS9" i="1"/>
  <c r="AS8" i="1"/>
  <c r="AY8" i="1" s="1"/>
  <c r="AS7" i="1"/>
  <c r="AS6" i="1"/>
  <c r="AS5" i="1"/>
  <c r="AS4" i="1"/>
  <c r="AS3" i="1"/>
  <c r="AY9" i="1" l="1"/>
  <c r="AY11" i="1"/>
  <c r="AY12" i="1"/>
  <c r="AW16" i="1"/>
  <c r="AY13" i="1"/>
  <c r="AY14" i="1"/>
  <c r="AY7" i="1"/>
  <c r="AY5" i="1"/>
  <c r="AY15" i="1"/>
  <c r="AY6" i="1"/>
  <c r="AX16" i="1"/>
  <c r="AY3" i="1"/>
  <c r="AY4" i="1"/>
  <c r="AY16" i="1" l="1"/>
</calcChain>
</file>

<file path=xl/sharedStrings.xml><?xml version="1.0" encoding="utf-8"?>
<sst xmlns="http://schemas.openxmlformats.org/spreadsheetml/2006/main" count="131" uniqueCount="51">
  <si>
    <t>Communes</t>
  </si>
  <si>
    <t>Code INSEE</t>
  </si>
  <si>
    <t>EPCI</t>
  </si>
  <si>
    <t>Hôtels</t>
  </si>
  <si>
    <t>Hôtels non classés</t>
  </si>
  <si>
    <t>Campings</t>
  </si>
  <si>
    <t>Cpgs non classés</t>
  </si>
  <si>
    <t>GDF</t>
  </si>
  <si>
    <t>CH GDF</t>
  </si>
  <si>
    <t>CLE</t>
  </si>
  <si>
    <t>CH CLE</t>
  </si>
  <si>
    <t>Meub.classés</t>
  </si>
  <si>
    <t>Meub non cl.</t>
  </si>
  <si>
    <t>Autres CH</t>
  </si>
  <si>
    <t>Gîte d'étape GF</t>
  </si>
  <si>
    <t>Accu. grp</t>
  </si>
  <si>
    <t>VV classés</t>
  </si>
  <si>
    <t>VV non classés</t>
  </si>
  <si>
    <t>Res. 2aires</t>
  </si>
  <si>
    <t>Cantons</t>
  </si>
  <si>
    <t>Lits</t>
  </si>
  <si>
    <t>Nb</t>
  </si>
  <si>
    <t>classés</t>
  </si>
  <si>
    <t>marchands</t>
  </si>
  <si>
    <t>Beynac et Cazenac</t>
  </si>
  <si>
    <t>Sarlat - Périgord Noir</t>
  </si>
  <si>
    <t>Sarlat</t>
  </si>
  <si>
    <t>Marcillac St Quentin</t>
  </si>
  <si>
    <t>Marquay</t>
  </si>
  <si>
    <t>Proissans</t>
  </si>
  <si>
    <t>Roque Gageac (La)</t>
  </si>
  <si>
    <t>Saint André d'Allas</t>
  </si>
  <si>
    <t>Saint Vincent de Cosse</t>
  </si>
  <si>
    <t>Saint Vincent le Paluel</t>
  </si>
  <si>
    <t>Sainte Nathalène</t>
  </si>
  <si>
    <t>Sarlat La Canéda</t>
  </si>
  <si>
    <t>Tamniès</t>
  </si>
  <si>
    <t>Vézac</t>
  </si>
  <si>
    <t>Vitrac</t>
  </si>
  <si>
    <t>SARLAT PERIGORD NOIR</t>
  </si>
  <si>
    <t>RT classés</t>
  </si>
  <si>
    <t>RT non classés</t>
  </si>
  <si>
    <t>PRL classés</t>
  </si>
  <si>
    <t>PRL non classés</t>
  </si>
  <si>
    <t>Total lits</t>
  </si>
  <si>
    <t xml:space="preserve">Total lits </t>
  </si>
  <si>
    <t>Total lits march.</t>
  </si>
  <si>
    <t>+ res. sec</t>
  </si>
  <si>
    <t>Nb lits en</t>
  </si>
  <si>
    <t xml:space="preserve"> res. ppales</t>
  </si>
  <si>
    <t>Auberge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</si>
</sst>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Continuous"/>
    </xf>
    <xf numFmtId="164" fontId="3" fillId="3" borderId="1" xfId="0" applyNumberFormat="1" applyFont="1" applyFill="1" applyBorder="1" applyAlignment="1">
      <alignment horizontal="centerContinuous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CC4B-9986-46C4-A16A-3BF1B201D68C}">
  <dimension ref="A1:BJ16"/>
  <sheetViews>
    <sheetView tabSelected="1" topLeftCell="AK1" zoomScale="150" zoomScaleNormal="150" workbookViewId="0">
      <pane ySplit="1" topLeftCell="A2" activePane="bottomLeft" state="frozen"/>
      <selection pane="bottomLeft" activeCell="BB16" sqref="BB16"/>
    </sheetView>
  </sheetViews>
  <sheetFormatPr baseColWidth="10" defaultRowHeight="15" x14ac:dyDescent="0.25"/>
  <cols>
    <col min="1" max="1" width="25.5703125" bestFit="1" customWidth="1"/>
    <col min="2" max="2" width="11.42578125" customWidth="1"/>
    <col min="3" max="3" width="35.28515625" customWidth="1"/>
    <col min="4" max="43" width="7.42578125" customWidth="1"/>
    <col min="44" max="45" width="8.7109375" customWidth="1"/>
    <col min="46" max="46" width="25.5703125" bestFit="1" customWidth="1"/>
    <col min="48" max="48" width="0" hidden="1" customWidth="1"/>
  </cols>
  <sheetData>
    <row r="1" spans="1:62" x14ac:dyDescent="0.25">
      <c r="A1" s="19" t="s">
        <v>0</v>
      </c>
      <c r="B1" s="21" t="s">
        <v>1</v>
      </c>
      <c r="C1" s="23" t="s">
        <v>2</v>
      </c>
      <c r="D1" s="17" t="s">
        <v>3</v>
      </c>
      <c r="E1" s="18"/>
      <c r="F1" s="17" t="s">
        <v>4</v>
      </c>
      <c r="G1" s="18"/>
      <c r="H1" s="17" t="s">
        <v>40</v>
      </c>
      <c r="I1" s="18"/>
      <c r="J1" s="17" t="s">
        <v>41</v>
      </c>
      <c r="K1" s="18"/>
      <c r="L1" s="17" t="s">
        <v>5</v>
      </c>
      <c r="M1" s="18"/>
      <c r="N1" s="17" t="s">
        <v>6</v>
      </c>
      <c r="O1" s="18"/>
      <c r="P1" s="15" t="s">
        <v>42</v>
      </c>
      <c r="Q1" s="16"/>
      <c r="R1" s="15" t="s">
        <v>43</v>
      </c>
      <c r="S1" s="16"/>
      <c r="T1" s="15" t="s">
        <v>7</v>
      </c>
      <c r="U1" s="16"/>
      <c r="V1" s="15" t="s">
        <v>8</v>
      </c>
      <c r="W1" s="16"/>
      <c r="X1" s="15" t="s">
        <v>9</v>
      </c>
      <c r="Y1" s="16"/>
      <c r="Z1" s="15" t="s">
        <v>10</v>
      </c>
      <c r="AA1" s="16"/>
      <c r="AB1" s="15" t="s">
        <v>11</v>
      </c>
      <c r="AC1" s="16"/>
      <c r="AD1" s="15" t="s">
        <v>12</v>
      </c>
      <c r="AE1" s="16"/>
      <c r="AF1" s="15" t="s">
        <v>13</v>
      </c>
      <c r="AG1" s="16"/>
      <c r="AH1" s="15" t="s">
        <v>14</v>
      </c>
      <c r="AI1" s="16"/>
      <c r="AJ1" s="15" t="s">
        <v>15</v>
      </c>
      <c r="AK1" s="16"/>
      <c r="AL1" s="17" t="s">
        <v>50</v>
      </c>
      <c r="AM1" s="18"/>
      <c r="AN1" s="17" t="s">
        <v>16</v>
      </c>
      <c r="AO1" s="18"/>
      <c r="AP1" s="17" t="s">
        <v>17</v>
      </c>
      <c r="AQ1" s="18"/>
      <c r="AR1" s="17" t="s">
        <v>18</v>
      </c>
      <c r="AS1" s="18"/>
      <c r="AT1" s="28" t="s">
        <v>0</v>
      </c>
      <c r="AU1" s="21" t="s">
        <v>1</v>
      </c>
      <c r="AV1" s="2" t="s">
        <v>19</v>
      </c>
      <c r="AW1" s="2" t="s">
        <v>44</v>
      </c>
      <c r="AX1" s="2" t="s">
        <v>45</v>
      </c>
      <c r="AY1" s="13" t="s">
        <v>46</v>
      </c>
      <c r="AZ1" s="3" t="s">
        <v>48</v>
      </c>
    </row>
    <row r="2" spans="1:62" x14ac:dyDescent="0.25">
      <c r="A2" s="20"/>
      <c r="B2" s="22"/>
      <c r="C2" s="24"/>
      <c r="D2" s="1" t="s">
        <v>21</v>
      </c>
      <c r="E2" s="1" t="s">
        <v>20</v>
      </c>
      <c r="F2" s="1" t="s">
        <v>21</v>
      </c>
      <c r="G2" s="1" t="s">
        <v>20</v>
      </c>
      <c r="H2" s="1" t="s">
        <v>21</v>
      </c>
      <c r="I2" s="1" t="s">
        <v>20</v>
      </c>
      <c r="J2" s="1" t="s">
        <v>21</v>
      </c>
      <c r="K2" s="1" t="s">
        <v>20</v>
      </c>
      <c r="L2" s="1" t="s">
        <v>21</v>
      </c>
      <c r="M2" s="1" t="s">
        <v>20</v>
      </c>
      <c r="N2" s="1" t="s">
        <v>21</v>
      </c>
      <c r="O2" s="1" t="s">
        <v>20</v>
      </c>
      <c r="P2" s="1" t="s">
        <v>21</v>
      </c>
      <c r="Q2" s="1" t="s">
        <v>20</v>
      </c>
      <c r="R2" s="1" t="s">
        <v>21</v>
      </c>
      <c r="S2" s="1" t="s">
        <v>20</v>
      </c>
      <c r="T2" s="1" t="s">
        <v>21</v>
      </c>
      <c r="U2" s="1" t="s">
        <v>20</v>
      </c>
      <c r="V2" s="1" t="s">
        <v>21</v>
      </c>
      <c r="W2" s="1" t="s">
        <v>20</v>
      </c>
      <c r="X2" s="1" t="s">
        <v>21</v>
      </c>
      <c r="Y2" s="1" t="s">
        <v>20</v>
      </c>
      <c r="Z2" s="1" t="s">
        <v>21</v>
      </c>
      <c r="AA2" s="1" t="s">
        <v>20</v>
      </c>
      <c r="AB2" s="1" t="s">
        <v>21</v>
      </c>
      <c r="AC2" s="1" t="s">
        <v>20</v>
      </c>
      <c r="AD2" s="1" t="s">
        <v>21</v>
      </c>
      <c r="AE2" s="1" t="s">
        <v>20</v>
      </c>
      <c r="AF2" s="1" t="s">
        <v>21</v>
      </c>
      <c r="AG2" s="1" t="s">
        <v>20</v>
      </c>
      <c r="AH2" s="1" t="s">
        <v>21</v>
      </c>
      <c r="AI2" s="1" t="s">
        <v>20</v>
      </c>
      <c r="AJ2" s="1" t="s">
        <v>21</v>
      </c>
      <c r="AK2" s="1" t="s">
        <v>20</v>
      </c>
      <c r="AL2" s="2" t="s">
        <v>21</v>
      </c>
      <c r="AM2" s="2" t="s">
        <v>20</v>
      </c>
      <c r="AN2" s="2" t="s">
        <v>21</v>
      </c>
      <c r="AO2" s="2" t="s">
        <v>20</v>
      </c>
      <c r="AP2" s="2" t="s">
        <v>21</v>
      </c>
      <c r="AQ2" s="2" t="s">
        <v>20</v>
      </c>
      <c r="AR2" s="2" t="s">
        <v>21</v>
      </c>
      <c r="AS2" s="2" t="s">
        <v>20</v>
      </c>
      <c r="AT2" s="29"/>
      <c r="AU2" s="22"/>
      <c r="AV2" s="2"/>
      <c r="AW2" s="2" t="s">
        <v>22</v>
      </c>
      <c r="AX2" s="2" t="s">
        <v>23</v>
      </c>
      <c r="AY2" s="13" t="s">
        <v>47</v>
      </c>
      <c r="AZ2" s="3" t="s">
        <v>49</v>
      </c>
    </row>
    <row r="3" spans="1:62" s="14" customFormat="1" x14ac:dyDescent="0.25">
      <c r="A3" s="8" t="s">
        <v>24</v>
      </c>
      <c r="B3" s="9">
        <v>40</v>
      </c>
      <c r="C3" s="10" t="s">
        <v>25</v>
      </c>
      <c r="D3" s="10">
        <v>2</v>
      </c>
      <c r="E3" s="10">
        <v>41</v>
      </c>
      <c r="F3" s="10"/>
      <c r="G3" s="10"/>
      <c r="H3" s="10"/>
      <c r="I3" s="10"/>
      <c r="J3" s="10"/>
      <c r="K3" s="10"/>
      <c r="L3" s="10">
        <v>1</v>
      </c>
      <c r="M3" s="10">
        <v>396</v>
      </c>
      <c r="N3" s="10"/>
      <c r="O3" s="10"/>
      <c r="P3" s="10"/>
      <c r="Q3" s="10"/>
      <c r="R3" s="10"/>
      <c r="S3" s="10"/>
      <c r="T3" s="10">
        <v>11</v>
      </c>
      <c r="U3" s="10">
        <v>45</v>
      </c>
      <c r="V3" s="10"/>
      <c r="W3" s="10"/>
      <c r="X3" s="10"/>
      <c r="Y3" s="10"/>
      <c r="Z3" s="10"/>
      <c r="AA3" s="10"/>
      <c r="AB3" s="10">
        <v>22</v>
      </c>
      <c r="AC3" s="10">
        <v>101</v>
      </c>
      <c r="AD3" s="10">
        <v>22</v>
      </c>
      <c r="AE3" s="10">
        <v>135</v>
      </c>
      <c r="AF3" s="10">
        <v>21</v>
      </c>
      <c r="AG3" s="10">
        <v>53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>
        <v>68</v>
      </c>
      <c r="AS3" s="10">
        <f t="shared" ref="AS3:AS15" si="0">AR3*5</f>
        <v>340</v>
      </c>
      <c r="AT3" s="8" t="s">
        <v>24</v>
      </c>
      <c r="AU3" s="9">
        <v>40</v>
      </c>
      <c r="AV3" s="10" t="s">
        <v>26</v>
      </c>
      <c r="AW3" s="10">
        <f t="shared" ref="AW3:AW15" si="1">E3+I3+M3+Q3+U3+W3+Y3+AA3+AC3+AI3+AM3+AO3</f>
        <v>583</v>
      </c>
      <c r="AX3" s="10">
        <f t="shared" ref="AX3:AX15" si="2">E3+G3+I3+K3+M3+O3+Q3+S3+U3+W3+Y3+AA3+AC3+AE3+AG3+AI3+AK3+AM3+AO3+AQ3</f>
        <v>771</v>
      </c>
      <c r="AY3" s="11">
        <f t="shared" ref="AY3:AY15" si="3">AX3+AS3</f>
        <v>1111</v>
      </c>
      <c r="AZ3" s="12">
        <v>225</v>
      </c>
      <c r="BA3"/>
      <c r="BB3"/>
      <c r="BC3"/>
      <c r="BD3"/>
      <c r="BE3"/>
      <c r="BF3"/>
      <c r="BG3"/>
      <c r="BH3"/>
      <c r="BI3"/>
      <c r="BJ3"/>
    </row>
    <row r="4" spans="1:62" s="14" customFormat="1" x14ac:dyDescent="0.25">
      <c r="A4" s="8" t="s">
        <v>27</v>
      </c>
      <c r="B4" s="9">
        <v>252</v>
      </c>
      <c r="C4" s="10" t="s">
        <v>25</v>
      </c>
      <c r="D4" s="10"/>
      <c r="E4" s="10"/>
      <c r="F4" s="10"/>
      <c r="G4" s="10"/>
      <c r="H4" s="10"/>
      <c r="I4" s="10"/>
      <c r="J4" s="10"/>
      <c r="K4" s="10"/>
      <c r="L4" s="10">
        <v>1</v>
      </c>
      <c r="M4" s="10">
        <v>297</v>
      </c>
      <c r="N4" s="10">
        <v>1</v>
      </c>
      <c r="O4" s="10">
        <v>105</v>
      </c>
      <c r="P4" s="10"/>
      <c r="Q4" s="10"/>
      <c r="R4" s="10"/>
      <c r="S4" s="10"/>
      <c r="T4" s="10">
        <v>10</v>
      </c>
      <c r="U4" s="10">
        <v>64</v>
      </c>
      <c r="V4" s="10">
        <v>5</v>
      </c>
      <c r="W4" s="10">
        <v>12</v>
      </c>
      <c r="X4" s="10"/>
      <c r="Y4" s="10"/>
      <c r="Z4" s="10"/>
      <c r="AA4" s="10"/>
      <c r="AB4" s="10">
        <v>22</v>
      </c>
      <c r="AC4" s="10">
        <v>140</v>
      </c>
      <c r="AD4" s="10">
        <v>19</v>
      </c>
      <c r="AE4" s="10">
        <v>122</v>
      </c>
      <c r="AF4" s="10">
        <v>8</v>
      </c>
      <c r="AG4" s="10">
        <v>24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>
        <v>0</v>
      </c>
      <c r="AS4" s="10">
        <f t="shared" si="0"/>
        <v>0</v>
      </c>
      <c r="AT4" s="8" t="s">
        <v>27</v>
      </c>
      <c r="AU4" s="9">
        <v>252</v>
      </c>
      <c r="AV4" s="10" t="s">
        <v>26</v>
      </c>
      <c r="AW4" s="10">
        <f t="shared" si="1"/>
        <v>513</v>
      </c>
      <c r="AX4" s="10">
        <f t="shared" si="2"/>
        <v>764</v>
      </c>
      <c r="AY4" s="11">
        <f t="shared" si="3"/>
        <v>764</v>
      </c>
      <c r="AZ4" s="12">
        <v>380</v>
      </c>
      <c r="BA4"/>
      <c r="BB4"/>
      <c r="BC4"/>
      <c r="BD4"/>
      <c r="BE4"/>
      <c r="BF4"/>
      <c r="BG4"/>
      <c r="BH4"/>
      <c r="BI4"/>
      <c r="BJ4"/>
    </row>
    <row r="5" spans="1:62" s="14" customFormat="1" x14ac:dyDescent="0.25">
      <c r="A5" s="8" t="s">
        <v>28</v>
      </c>
      <c r="B5" s="9">
        <v>255</v>
      </c>
      <c r="C5" s="10" t="s">
        <v>25</v>
      </c>
      <c r="D5" s="10">
        <v>1</v>
      </c>
      <c r="E5" s="10">
        <v>33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</v>
      </c>
      <c r="U5" s="10">
        <v>26</v>
      </c>
      <c r="V5" s="10">
        <v>3</v>
      </c>
      <c r="W5" s="10">
        <v>10</v>
      </c>
      <c r="X5" s="10"/>
      <c r="Y5" s="10"/>
      <c r="Z5" s="10"/>
      <c r="AA5" s="10"/>
      <c r="AB5" s="10">
        <v>16</v>
      </c>
      <c r="AC5" s="10">
        <v>84</v>
      </c>
      <c r="AD5" s="10">
        <v>17</v>
      </c>
      <c r="AE5" s="10">
        <v>83</v>
      </c>
      <c r="AF5" s="10">
        <v>13</v>
      </c>
      <c r="AG5" s="10">
        <v>38</v>
      </c>
      <c r="AH5" s="10"/>
      <c r="AI5" s="10"/>
      <c r="AJ5" s="10"/>
      <c r="AK5" s="10"/>
      <c r="AL5" s="10"/>
      <c r="AM5" s="10"/>
      <c r="AN5" s="10">
        <v>1</v>
      </c>
      <c r="AO5" s="10">
        <v>222</v>
      </c>
      <c r="AP5" s="10"/>
      <c r="AQ5" s="10"/>
      <c r="AR5" s="10">
        <v>74</v>
      </c>
      <c r="AS5" s="10">
        <f t="shared" si="0"/>
        <v>370</v>
      </c>
      <c r="AT5" s="8" t="s">
        <v>28</v>
      </c>
      <c r="AU5" s="9">
        <v>255</v>
      </c>
      <c r="AV5" s="10" t="s">
        <v>26</v>
      </c>
      <c r="AW5" s="10">
        <f t="shared" si="1"/>
        <v>375</v>
      </c>
      <c r="AX5" s="10">
        <f t="shared" si="2"/>
        <v>496</v>
      </c>
      <c r="AY5" s="11">
        <f t="shared" si="3"/>
        <v>866</v>
      </c>
      <c r="AZ5" s="12">
        <v>282</v>
      </c>
      <c r="BA5"/>
      <c r="BB5"/>
      <c r="BC5"/>
      <c r="BD5"/>
      <c r="BE5"/>
      <c r="BF5"/>
      <c r="BG5"/>
      <c r="BH5"/>
      <c r="BI5"/>
      <c r="BJ5"/>
    </row>
    <row r="6" spans="1:62" s="14" customFormat="1" x14ac:dyDescent="0.25">
      <c r="A6" s="8" t="s">
        <v>29</v>
      </c>
      <c r="B6" s="9">
        <v>341</v>
      </c>
      <c r="C6" s="10" t="s">
        <v>25</v>
      </c>
      <c r="D6" s="10"/>
      <c r="E6" s="10"/>
      <c r="F6" s="10"/>
      <c r="G6" s="10"/>
      <c r="H6" s="10"/>
      <c r="I6" s="10"/>
      <c r="J6" s="10"/>
      <c r="K6" s="10"/>
      <c r="L6" s="10">
        <v>3</v>
      </c>
      <c r="M6" s="10">
        <v>881</v>
      </c>
      <c r="N6" s="10"/>
      <c r="O6" s="10"/>
      <c r="P6" s="10"/>
      <c r="Q6" s="10"/>
      <c r="R6" s="10"/>
      <c r="S6" s="10"/>
      <c r="T6" s="10">
        <v>11</v>
      </c>
      <c r="U6" s="10">
        <v>64</v>
      </c>
      <c r="V6" s="10"/>
      <c r="W6" s="10"/>
      <c r="X6" s="10">
        <v>2</v>
      </c>
      <c r="Y6" s="10">
        <v>8</v>
      </c>
      <c r="Z6" s="10"/>
      <c r="AA6" s="10"/>
      <c r="AB6" s="10">
        <v>30</v>
      </c>
      <c r="AC6" s="10">
        <v>168</v>
      </c>
      <c r="AD6" s="10">
        <v>25</v>
      </c>
      <c r="AE6" s="10">
        <v>119</v>
      </c>
      <c r="AF6" s="10">
        <v>19</v>
      </c>
      <c r="AG6" s="10">
        <v>49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>
        <v>34</v>
      </c>
      <c r="AS6" s="10">
        <f t="shared" si="0"/>
        <v>170</v>
      </c>
      <c r="AT6" s="8" t="s">
        <v>29</v>
      </c>
      <c r="AU6" s="9">
        <v>341</v>
      </c>
      <c r="AV6" s="10" t="s">
        <v>26</v>
      </c>
      <c r="AW6" s="10">
        <f t="shared" si="1"/>
        <v>1121</v>
      </c>
      <c r="AX6" s="10">
        <f t="shared" si="2"/>
        <v>1289</v>
      </c>
      <c r="AY6" s="11">
        <f t="shared" si="3"/>
        <v>1459</v>
      </c>
      <c r="AZ6" s="12">
        <v>505</v>
      </c>
      <c r="BA6"/>
      <c r="BB6"/>
      <c r="BC6"/>
      <c r="BD6"/>
      <c r="BE6"/>
      <c r="BF6"/>
      <c r="BG6"/>
      <c r="BH6"/>
      <c r="BI6"/>
      <c r="BJ6"/>
    </row>
    <row r="7" spans="1:62" s="14" customFormat="1" x14ac:dyDescent="0.25">
      <c r="A7" s="8" t="s">
        <v>30</v>
      </c>
      <c r="B7" s="9">
        <v>355</v>
      </c>
      <c r="C7" s="10" t="s">
        <v>25</v>
      </c>
      <c r="D7" s="10">
        <v>3</v>
      </c>
      <c r="E7" s="10">
        <v>134</v>
      </c>
      <c r="F7" s="10">
        <v>1</v>
      </c>
      <c r="G7" s="10">
        <v>50</v>
      </c>
      <c r="H7" s="10"/>
      <c r="I7" s="10"/>
      <c r="J7" s="10"/>
      <c r="K7" s="10"/>
      <c r="L7" s="10">
        <v>2</v>
      </c>
      <c r="M7" s="10">
        <v>738</v>
      </c>
      <c r="N7" s="10">
        <v>1</v>
      </c>
      <c r="O7" s="10">
        <v>240</v>
      </c>
      <c r="P7" s="10"/>
      <c r="Q7" s="10"/>
      <c r="R7" s="10"/>
      <c r="S7" s="10"/>
      <c r="T7" s="10">
        <v>22</v>
      </c>
      <c r="U7" s="10">
        <v>107</v>
      </c>
      <c r="V7" s="10"/>
      <c r="W7" s="10"/>
      <c r="X7" s="10"/>
      <c r="Y7" s="10"/>
      <c r="Z7" s="10"/>
      <c r="AA7" s="10"/>
      <c r="AB7" s="10">
        <v>26</v>
      </c>
      <c r="AC7" s="10">
        <v>147</v>
      </c>
      <c r="AD7" s="10">
        <v>18</v>
      </c>
      <c r="AE7" s="10">
        <v>106</v>
      </c>
      <c r="AF7" s="10">
        <v>18</v>
      </c>
      <c r="AG7" s="10">
        <v>44</v>
      </c>
      <c r="AH7" s="10"/>
      <c r="AI7" s="10"/>
      <c r="AJ7" s="10">
        <v>1</v>
      </c>
      <c r="AK7" s="10">
        <v>12</v>
      </c>
      <c r="AL7" s="10"/>
      <c r="AM7" s="10"/>
      <c r="AN7" s="10"/>
      <c r="AO7" s="10"/>
      <c r="AP7" s="10"/>
      <c r="AQ7" s="10"/>
      <c r="AR7" s="10">
        <v>67</v>
      </c>
      <c r="AS7" s="10">
        <f t="shared" si="0"/>
        <v>335</v>
      </c>
      <c r="AT7" s="8" t="s">
        <v>30</v>
      </c>
      <c r="AU7" s="9">
        <v>355</v>
      </c>
      <c r="AV7" s="10" t="s">
        <v>26</v>
      </c>
      <c r="AW7" s="10">
        <f t="shared" si="1"/>
        <v>1126</v>
      </c>
      <c r="AX7" s="10">
        <f t="shared" si="2"/>
        <v>1578</v>
      </c>
      <c r="AY7" s="11">
        <f t="shared" si="3"/>
        <v>1913</v>
      </c>
      <c r="AZ7" s="12">
        <v>219</v>
      </c>
      <c r="BA7"/>
      <c r="BB7"/>
      <c r="BC7"/>
      <c r="BD7"/>
      <c r="BE7"/>
      <c r="BF7"/>
      <c r="BG7"/>
      <c r="BH7"/>
      <c r="BI7"/>
      <c r="BJ7"/>
    </row>
    <row r="8" spans="1:62" s="14" customFormat="1" x14ac:dyDescent="0.25">
      <c r="A8" s="8" t="s">
        <v>31</v>
      </c>
      <c r="B8" s="9">
        <v>366</v>
      </c>
      <c r="C8" s="10" t="s">
        <v>25</v>
      </c>
      <c r="D8" s="10"/>
      <c r="E8" s="10"/>
      <c r="F8" s="10"/>
      <c r="G8" s="10"/>
      <c r="H8" s="10"/>
      <c r="I8" s="10"/>
      <c r="J8" s="10"/>
      <c r="K8" s="10"/>
      <c r="L8" s="10">
        <v>3</v>
      </c>
      <c r="M8" s="10">
        <v>1161</v>
      </c>
      <c r="N8" s="10">
        <v>1</v>
      </c>
      <c r="O8" s="10">
        <v>18</v>
      </c>
      <c r="P8" s="10"/>
      <c r="Q8" s="10"/>
      <c r="R8" s="10"/>
      <c r="S8" s="10"/>
      <c r="T8" s="10">
        <v>6</v>
      </c>
      <c r="U8" s="10">
        <v>27</v>
      </c>
      <c r="V8" s="10"/>
      <c r="W8" s="10"/>
      <c r="X8" s="10">
        <v>1</v>
      </c>
      <c r="Y8" s="10">
        <v>4</v>
      </c>
      <c r="Z8" s="10"/>
      <c r="AA8" s="10"/>
      <c r="AB8" s="10">
        <v>21</v>
      </c>
      <c r="AC8" s="10">
        <v>85</v>
      </c>
      <c r="AD8" s="10">
        <v>28</v>
      </c>
      <c r="AE8" s="10">
        <v>141</v>
      </c>
      <c r="AF8" s="10">
        <v>16</v>
      </c>
      <c r="AG8" s="10">
        <v>40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>
        <v>61</v>
      </c>
      <c r="AS8" s="10">
        <f t="shared" si="0"/>
        <v>305</v>
      </c>
      <c r="AT8" s="8" t="s">
        <v>31</v>
      </c>
      <c r="AU8" s="9">
        <v>366</v>
      </c>
      <c r="AV8" s="10" t="s">
        <v>26</v>
      </c>
      <c r="AW8" s="10">
        <f t="shared" si="1"/>
        <v>1277</v>
      </c>
      <c r="AX8" s="10">
        <f t="shared" si="2"/>
        <v>1476</v>
      </c>
      <c r="AY8" s="11">
        <f t="shared" si="3"/>
        <v>1781</v>
      </c>
      <c r="AZ8" s="12">
        <v>389</v>
      </c>
      <c r="BA8"/>
      <c r="BB8"/>
      <c r="BC8"/>
      <c r="BD8"/>
      <c r="BE8"/>
      <c r="BF8"/>
      <c r="BG8"/>
      <c r="BH8"/>
      <c r="BI8"/>
      <c r="BJ8"/>
    </row>
    <row r="9" spans="1:62" s="14" customFormat="1" x14ac:dyDescent="0.25">
      <c r="A9" s="8" t="s">
        <v>32</v>
      </c>
      <c r="B9" s="9">
        <v>510</v>
      </c>
      <c r="C9" s="10" t="s">
        <v>25</v>
      </c>
      <c r="D9" s="10">
        <v>1</v>
      </c>
      <c r="E9" s="10">
        <v>80</v>
      </c>
      <c r="F9" s="10"/>
      <c r="G9" s="10"/>
      <c r="H9" s="10"/>
      <c r="I9" s="10"/>
      <c r="J9" s="10"/>
      <c r="K9" s="10"/>
      <c r="L9" s="10">
        <v>1</v>
      </c>
      <c r="M9" s="10">
        <v>186</v>
      </c>
      <c r="N9" s="10"/>
      <c r="O9" s="10"/>
      <c r="P9" s="10"/>
      <c r="Q9" s="10"/>
      <c r="R9" s="10"/>
      <c r="S9" s="10"/>
      <c r="T9" s="10">
        <v>2</v>
      </c>
      <c r="U9" s="10">
        <v>10</v>
      </c>
      <c r="V9" s="10"/>
      <c r="W9" s="10"/>
      <c r="X9" s="10"/>
      <c r="Y9" s="10"/>
      <c r="Z9" s="10"/>
      <c r="AA9" s="10"/>
      <c r="AB9" s="10">
        <v>16</v>
      </c>
      <c r="AC9" s="10">
        <v>88</v>
      </c>
      <c r="AD9" s="10">
        <v>44</v>
      </c>
      <c r="AE9" s="10">
        <v>232</v>
      </c>
      <c r="AF9" s="10">
        <v>19</v>
      </c>
      <c r="AG9" s="10">
        <v>51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>
        <v>41</v>
      </c>
      <c r="AS9" s="10">
        <f>AR9*5</f>
        <v>205</v>
      </c>
      <c r="AT9" s="8" t="s">
        <v>32</v>
      </c>
      <c r="AU9" s="9">
        <v>510</v>
      </c>
      <c r="AV9" s="10" t="s">
        <v>26</v>
      </c>
      <c r="AW9" s="10">
        <f t="shared" si="1"/>
        <v>364</v>
      </c>
      <c r="AX9" s="10">
        <f t="shared" si="2"/>
        <v>647</v>
      </c>
      <c r="AY9" s="11">
        <f>AX9+AS9</f>
        <v>852</v>
      </c>
      <c r="AZ9" s="12">
        <v>177</v>
      </c>
      <c r="BA9"/>
      <c r="BB9"/>
      <c r="BC9"/>
      <c r="BD9"/>
      <c r="BE9"/>
      <c r="BF9"/>
      <c r="BG9"/>
      <c r="BH9"/>
      <c r="BI9"/>
      <c r="BJ9"/>
    </row>
    <row r="10" spans="1:62" s="14" customFormat="1" x14ac:dyDescent="0.25">
      <c r="A10" s="8" t="s">
        <v>33</v>
      </c>
      <c r="B10" s="9">
        <v>512</v>
      </c>
      <c r="C10" s="10" t="s">
        <v>25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6</v>
      </c>
      <c r="U10" s="10">
        <v>26</v>
      </c>
      <c r="V10" s="10"/>
      <c r="W10" s="10"/>
      <c r="X10" s="10">
        <v>1</v>
      </c>
      <c r="Y10" s="10">
        <v>6</v>
      </c>
      <c r="Z10" s="10"/>
      <c r="AA10" s="10"/>
      <c r="AB10" s="10">
        <v>8</v>
      </c>
      <c r="AC10" s="10">
        <v>40</v>
      </c>
      <c r="AD10" s="10">
        <v>7</v>
      </c>
      <c r="AE10" s="10">
        <v>46</v>
      </c>
      <c r="AF10" s="10">
        <v>5</v>
      </c>
      <c r="AG10" s="10">
        <v>13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>
        <v>29</v>
      </c>
      <c r="AS10" s="10">
        <f t="shared" si="0"/>
        <v>145</v>
      </c>
      <c r="AT10" s="8" t="s">
        <v>33</v>
      </c>
      <c r="AU10" s="9">
        <v>512</v>
      </c>
      <c r="AV10" s="10" t="s">
        <v>26</v>
      </c>
      <c r="AW10" s="10">
        <f t="shared" si="1"/>
        <v>72</v>
      </c>
      <c r="AX10" s="10">
        <f t="shared" si="2"/>
        <v>131</v>
      </c>
      <c r="AY10" s="11">
        <f t="shared" si="3"/>
        <v>276</v>
      </c>
      <c r="AZ10" s="12">
        <v>133</v>
      </c>
      <c r="BA10"/>
      <c r="BB10"/>
      <c r="BC10"/>
      <c r="BD10"/>
      <c r="BE10"/>
      <c r="BF10"/>
      <c r="BG10"/>
      <c r="BH10"/>
      <c r="BI10"/>
      <c r="BJ10"/>
    </row>
    <row r="11" spans="1:62" s="14" customFormat="1" x14ac:dyDescent="0.25">
      <c r="A11" s="8" t="s">
        <v>34</v>
      </c>
      <c r="B11" s="9">
        <v>471</v>
      </c>
      <c r="C11" s="10" t="s">
        <v>25</v>
      </c>
      <c r="D11" s="10"/>
      <c r="E11" s="10"/>
      <c r="F11" s="10">
        <v>1</v>
      </c>
      <c r="G11" s="10">
        <v>30</v>
      </c>
      <c r="H11" s="10"/>
      <c r="I11" s="10"/>
      <c r="J11" s="10"/>
      <c r="K11" s="10"/>
      <c r="L11" s="10">
        <v>3</v>
      </c>
      <c r="M11" s="10">
        <v>2201</v>
      </c>
      <c r="N11" s="10">
        <v>1</v>
      </c>
      <c r="O11" s="10">
        <v>132</v>
      </c>
      <c r="P11" s="10"/>
      <c r="Q11" s="10"/>
      <c r="R11" s="10"/>
      <c r="S11" s="10"/>
      <c r="T11" s="10">
        <v>6</v>
      </c>
      <c r="U11" s="10">
        <v>26</v>
      </c>
      <c r="V11" s="10">
        <v>9</v>
      </c>
      <c r="W11" s="10">
        <v>18</v>
      </c>
      <c r="X11" s="10"/>
      <c r="Y11" s="10"/>
      <c r="Z11" s="10"/>
      <c r="AA11" s="10"/>
      <c r="AB11" s="10">
        <v>12</v>
      </c>
      <c r="AC11" s="10">
        <v>82</v>
      </c>
      <c r="AD11" s="10">
        <v>5</v>
      </c>
      <c r="AE11" s="10">
        <v>22</v>
      </c>
      <c r="AF11" s="10">
        <v>9</v>
      </c>
      <c r="AG11" s="10">
        <v>18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>
        <v>52</v>
      </c>
      <c r="AS11" s="10">
        <f t="shared" si="0"/>
        <v>260</v>
      </c>
      <c r="AT11" s="8" t="s">
        <v>34</v>
      </c>
      <c r="AU11" s="9">
        <v>471</v>
      </c>
      <c r="AV11" s="10" t="s">
        <v>26</v>
      </c>
      <c r="AW11" s="10">
        <f t="shared" si="1"/>
        <v>2327</v>
      </c>
      <c r="AX11" s="10">
        <f t="shared" si="2"/>
        <v>2529</v>
      </c>
      <c r="AY11" s="11">
        <f t="shared" si="3"/>
        <v>2789</v>
      </c>
      <c r="AZ11" s="12">
        <v>289</v>
      </c>
      <c r="BA11"/>
      <c r="BB11"/>
      <c r="BC11"/>
      <c r="BD11"/>
      <c r="BE11"/>
      <c r="BF11"/>
      <c r="BG11"/>
      <c r="BH11"/>
      <c r="BI11"/>
      <c r="BJ11"/>
    </row>
    <row r="12" spans="1:62" s="14" customFormat="1" x14ac:dyDescent="0.25">
      <c r="A12" s="8" t="s">
        <v>35</v>
      </c>
      <c r="B12" s="9">
        <v>520</v>
      </c>
      <c r="C12" s="10" t="s">
        <v>25</v>
      </c>
      <c r="D12" s="10">
        <v>22</v>
      </c>
      <c r="E12" s="10">
        <v>1375</v>
      </c>
      <c r="F12" s="10"/>
      <c r="G12" s="10"/>
      <c r="H12" s="10">
        <v>1</v>
      </c>
      <c r="I12" s="10">
        <v>582</v>
      </c>
      <c r="J12" s="10"/>
      <c r="K12" s="10"/>
      <c r="L12" s="10">
        <v>4</v>
      </c>
      <c r="M12" s="10">
        <v>1656</v>
      </c>
      <c r="N12" s="10"/>
      <c r="O12" s="10"/>
      <c r="P12" s="10">
        <v>2</v>
      </c>
      <c r="Q12" s="10">
        <v>201</v>
      </c>
      <c r="R12" s="10"/>
      <c r="S12" s="10"/>
      <c r="T12" s="10">
        <v>35</v>
      </c>
      <c r="U12" s="10">
        <v>176</v>
      </c>
      <c r="V12" s="10">
        <v>11</v>
      </c>
      <c r="W12" s="10">
        <v>24</v>
      </c>
      <c r="X12" s="10">
        <v>9</v>
      </c>
      <c r="Y12" s="10">
        <v>39</v>
      </c>
      <c r="Z12" s="10"/>
      <c r="AA12" s="10"/>
      <c r="AB12" s="10">
        <v>413</v>
      </c>
      <c r="AC12" s="10">
        <v>1671</v>
      </c>
      <c r="AD12" s="10">
        <v>192</v>
      </c>
      <c r="AE12" s="10">
        <v>895</v>
      </c>
      <c r="AF12" s="10">
        <v>196</v>
      </c>
      <c r="AG12" s="10">
        <v>466</v>
      </c>
      <c r="AH12" s="10"/>
      <c r="AI12" s="10"/>
      <c r="AJ12" s="10">
        <v>2</v>
      </c>
      <c r="AK12" s="10">
        <v>71</v>
      </c>
      <c r="AL12" s="10"/>
      <c r="AM12" s="10"/>
      <c r="AN12" s="10"/>
      <c r="AO12" s="10"/>
      <c r="AP12" s="10"/>
      <c r="AQ12" s="10"/>
      <c r="AR12" s="10">
        <v>568</v>
      </c>
      <c r="AS12" s="10">
        <f t="shared" si="0"/>
        <v>2840</v>
      </c>
      <c r="AT12" s="8" t="s">
        <v>35</v>
      </c>
      <c r="AU12" s="9">
        <v>520</v>
      </c>
      <c r="AV12" s="10" t="s">
        <v>26</v>
      </c>
      <c r="AW12" s="10">
        <f t="shared" si="1"/>
        <v>5724</v>
      </c>
      <c r="AX12" s="10">
        <f t="shared" si="2"/>
        <v>7156</v>
      </c>
      <c r="AY12" s="11">
        <f t="shared" si="3"/>
        <v>9996</v>
      </c>
      <c r="AZ12" s="12">
        <v>4655</v>
      </c>
      <c r="BA12"/>
      <c r="BB12"/>
      <c r="BC12"/>
      <c r="BD12"/>
      <c r="BE12"/>
      <c r="BF12"/>
      <c r="BG12"/>
      <c r="BH12"/>
      <c r="BI12"/>
      <c r="BJ12"/>
    </row>
    <row r="13" spans="1:62" s="14" customFormat="1" x14ac:dyDescent="0.25">
      <c r="A13" s="8" t="s">
        <v>36</v>
      </c>
      <c r="B13" s="9">
        <v>544</v>
      </c>
      <c r="C13" s="10" t="s">
        <v>25</v>
      </c>
      <c r="D13" s="10">
        <v>1</v>
      </c>
      <c r="E13" s="10">
        <v>101</v>
      </c>
      <c r="F13" s="10"/>
      <c r="G13" s="10"/>
      <c r="H13" s="10"/>
      <c r="I13" s="10"/>
      <c r="J13" s="10"/>
      <c r="K13" s="10"/>
      <c r="L13" s="10">
        <v>2</v>
      </c>
      <c r="M13" s="10">
        <v>315</v>
      </c>
      <c r="N13" s="10"/>
      <c r="O13" s="10"/>
      <c r="P13" s="10">
        <v>1</v>
      </c>
      <c r="Q13" s="10">
        <v>200</v>
      </c>
      <c r="R13" s="10"/>
      <c r="S13" s="10"/>
      <c r="T13" s="10">
        <v>1</v>
      </c>
      <c r="U13" s="10">
        <v>7</v>
      </c>
      <c r="V13" s="10"/>
      <c r="W13" s="10"/>
      <c r="X13" s="10"/>
      <c r="Y13" s="10"/>
      <c r="Z13" s="10"/>
      <c r="AA13" s="10"/>
      <c r="AB13" s="10">
        <v>20</v>
      </c>
      <c r="AC13" s="10">
        <v>103</v>
      </c>
      <c r="AD13" s="10">
        <v>10</v>
      </c>
      <c r="AE13" s="10">
        <v>44</v>
      </c>
      <c r="AF13" s="10">
        <v>8</v>
      </c>
      <c r="AG13" s="10">
        <v>22</v>
      </c>
      <c r="AH13" s="10">
        <v>1</v>
      </c>
      <c r="AI13" s="10">
        <v>49</v>
      </c>
      <c r="AJ13" s="10"/>
      <c r="AK13" s="10"/>
      <c r="AL13" s="10"/>
      <c r="AM13" s="10"/>
      <c r="AN13" s="10"/>
      <c r="AO13" s="10"/>
      <c r="AP13" s="10"/>
      <c r="AQ13" s="10"/>
      <c r="AR13" s="10">
        <v>60</v>
      </c>
      <c r="AS13" s="10">
        <f t="shared" si="0"/>
        <v>300</v>
      </c>
      <c r="AT13" s="8" t="s">
        <v>36</v>
      </c>
      <c r="AU13" s="9">
        <v>544</v>
      </c>
      <c r="AV13" s="10" t="s">
        <v>26</v>
      </c>
      <c r="AW13" s="10">
        <f t="shared" si="1"/>
        <v>775</v>
      </c>
      <c r="AX13" s="10">
        <f t="shared" si="2"/>
        <v>841</v>
      </c>
      <c r="AY13" s="11">
        <f t="shared" si="3"/>
        <v>1141</v>
      </c>
      <c r="AZ13" s="12">
        <v>191</v>
      </c>
      <c r="BA13"/>
      <c r="BB13"/>
      <c r="BC13"/>
      <c r="BD13"/>
      <c r="BE13"/>
      <c r="BF13"/>
      <c r="BG13"/>
      <c r="BH13"/>
      <c r="BI13"/>
      <c r="BJ13"/>
    </row>
    <row r="14" spans="1:62" s="14" customFormat="1" x14ac:dyDescent="0.25">
      <c r="A14" s="8" t="s">
        <v>37</v>
      </c>
      <c r="B14" s="9">
        <v>577</v>
      </c>
      <c r="C14" s="10" t="s">
        <v>25</v>
      </c>
      <c r="D14" s="10">
        <v>1</v>
      </c>
      <c r="E14" s="10">
        <v>69</v>
      </c>
      <c r="F14" s="10">
        <v>1</v>
      </c>
      <c r="G14" s="10">
        <v>40</v>
      </c>
      <c r="H14" s="10"/>
      <c r="I14" s="10"/>
      <c r="J14" s="10"/>
      <c r="K14" s="10"/>
      <c r="L14" s="10">
        <v>4</v>
      </c>
      <c r="M14" s="10">
        <v>1080</v>
      </c>
      <c r="N14" s="10">
        <v>1</v>
      </c>
      <c r="O14" s="10">
        <v>104</v>
      </c>
      <c r="P14" s="10"/>
      <c r="Q14" s="10"/>
      <c r="R14" s="10"/>
      <c r="S14" s="10"/>
      <c r="T14" s="10">
        <v>1</v>
      </c>
      <c r="U14" s="10">
        <v>6</v>
      </c>
      <c r="V14" s="10"/>
      <c r="W14" s="10"/>
      <c r="X14" s="10">
        <v>1</v>
      </c>
      <c r="Y14" s="10">
        <v>4</v>
      </c>
      <c r="Z14" s="10"/>
      <c r="AA14" s="10"/>
      <c r="AB14" s="10">
        <v>25</v>
      </c>
      <c r="AC14" s="10">
        <v>126</v>
      </c>
      <c r="AD14" s="10">
        <v>21</v>
      </c>
      <c r="AE14" s="10">
        <v>152</v>
      </c>
      <c r="AF14" s="10">
        <v>18</v>
      </c>
      <c r="AG14" s="10">
        <v>39</v>
      </c>
      <c r="AH14" s="10">
        <v>1</v>
      </c>
      <c r="AI14" s="10">
        <v>18</v>
      </c>
      <c r="AJ14" s="10"/>
      <c r="AK14" s="10"/>
      <c r="AL14" s="10"/>
      <c r="AM14" s="10"/>
      <c r="AN14" s="10"/>
      <c r="AO14" s="10"/>
      <c r="AP14" s="10"/>
      <c r="AQ14" s="10"/>
      <c r="AR14" s="10">
        <v>85</v>
      </c>
      <c r="AS14" s="10">
        <f t="shared" si="0"/>
        <v>425</v>
      </c>
      <c r="AT14" s="8" t="s">
        <v>37</v>
      </c>
      <c r="AU14" s="9">
        <v>577</v>
      </c>
      <c r="AV14" s="10" t="s">
        <v>26</v>
      </c>
      <c r="AW14" s="10">
        <f t="shared" si="1"/>
        <v>1303</v>
      </c>
      <c r="AX14" s="10">
        <f t="shared" si="2"/>
        <v>1638</v>
      </c>
      <c r="AY14" s="11">
        <f t="shared" si="3"/>
        <v>2063</v>
      </c>
      <c r="AZ14" s="12">
        <v>266</v>
      </c>
      <c r="BA14"/>
      <c r="BB14"/>
      <c r="BC14"/>
      <c r="BD14"/>
      <c r="BE14"/>
      <c r="BF14"/>
      <c r="BG14"/>
      <c r="BH14"/>
      <c r="BI14"/>
      <c r="BJ14"/>
    </row>
    <row r="15" spans="1:62" s="14" customFormat="1" x14ac:dyDescent="0.25">
      <c r="A15" s="8" t="s">
        <v>38</v>
      </c>
      <c r="B15" s="9">
        <v>587</v>
      </c>
      <c r="C15" s="10" t="s">
        <v>25</v>
      </c>
      <c r="D15" s="10">
        <v>3</v>
      </c>
      <c r="E15" s="10">
        <v>205</v>
      </c>
      <c r="F15" s="10">
        <v>1</v>
      </c>
      <c r="G15" s="10">
        <v>35</v>
      </c>
      <c r="H15" s="10"/>
      <c r="I15" s="10"/>
      <c r="J15" s="10"/>
      <c r="K15" s="10"/>
      <c r="L15" s="10">
        <v>3</v>
      </c>
      <c r="M15" s="10">
        <v>1767</v>
      </c>
      <c r="N15" s="10">
        <v>1</v>
      </c>
      <c r="O15" s="10">
        <v>75</v>
      </c>
      <c r="P15" s="10"/>
      <c r="Q15" s="10"/>
      <c r="R15" s="10"/>
      <c r="S15" s="10"/>
      <c r="T15" s="10">
        <v>10</v>
      </c>
      <c r="U15" s="10">
        <v>49</v>
      </c>
      <c r="V15" s="10">
        <v>3</v>
      </c>
      <c r="W15" s="10">
        <v>8</v>
      </c>
      <c r="X15" s="10">
        <v>1</v>
      </c>
      <c r="Y15" s="10">
        <v>6</v>
      </c>
      <c r="Z15" s="10"/>
      <c r="AA15" s="10"/>
      <c r="AB15" s="10">
        <v>38</v>
      </c>
      <c r="AC15" s="10">
        <v>215</v>
      </c>
      <c r="AD15" s="10">
        <v>35</v>
      </c>
      <c r="AE15" s="10">
        <v>155</v>
      </c>
      <c r="AF15" s="10">
        <v>28</v>
      </c>
      <c r="AG15" s="10">
        <v>72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>
        <v>53</v>
      </c>
      <c r="AS15" s="10">
        <f t="shared" si="0"/>
        <v>265</v>
      </c>
      <c r="AT15" s="8" t="s">
        <v>38</v>
      </c>
      <c r="AU15" s="9">
        <v>587</v>
      </c>
      <c r="AV15" s="10" t="s">
        <v>26</v>
      </c>
      <c r="AW15" s="10">
        <f t="shared" si="1"/>
        <v>2250</v>
      </c>
      <c r="AX15" s="10">
        <f t="shared" si="2"/>
        <v>2587</v>
      </c>
      <c r="AY15" s="11">
        <f t="shared" si="3"/>
        <v>2852</v>
      </c>
      <c r="AZ15" s="12">
        <v>413</v>
      </c>
      <c r="BA15"/>
      <c r="BB15"/>
      <c r="BC15"/>
      <c r="BD15"/>
      <c r="BE15"/>
      <c r="BF15"/>
      <c r="BG15"/>
      <c r="BH15"/>
      <c r="BI15"/>
      <c r="BJ15"/>
    </row>
    <row r="16" spans="1:62" x14ac:dyDescent="0.25">
      <c r="A16" s="4" t="s">
        <v>39</v>
      </c>
      <c r="B16" s="5"/>
      <c r="C16" s="4"/>
      <c r="D16" s="6">
        <f t="shared" ref="D16:AS16" si="4">SUM(D3:D15)</f>
        <v>34</v>
      </c>
      <c r="E16" s="6">
        <f t="shared" si="4"/>
        <v>2038</v>
      </c>
      <c r="F16" s="6">
        <f t="shared" si="4"/>
        <v>4</v>
      </c>
      <c r="G16" s="6">
        <f t="shared" si="4"/>
        <v>155</v>
      </c>
      <c r="H16" s="6">
        <f t="shared" si="4"/>
        <v>1</v>
      </c>
      <c r="I16" s="6">
        <f t="shared" si="4"/>
        <v>582</v>
      </c>
      <c r="J16" s="6">
        <f t="shared" ref="J16:K16" si="5">SUM(J3:J15)</f>
        <v>0</v>
      </c>
      <c r="K16" s="6">
        <f t="shared" si="5"/>
        <v>0</v>
      </c>
      <c r="L16" s="6">
        <f t="shared" si="4"/>
        <v>27</v>
      </c>
      <c r="M16" s="6">
        <f t="shared" si="4"/>
        <v>10678</v>
      </c>
      <c r="N16" s="6">
        <f t="shared" si="4"/>
        <v>6</v>
      </c>
      <c r="O16" s="6">
        <f t="shared" si="4"/>
        <v>674</v>
      </c>
      <c r="P16" s="6">
        <f t="shared" si="4"/>
        <v>3</v>
      </c>
      <c r="Q16" s="6">
        <f t="shared" si="4"/>
        <v>401</v>
      </c>
      <c r="R16" s="6">
        <f t="shared" ref="R16:S16" si="6">SUM(R3:R15)</f>
        <v>0</v>
      </c>
      <c r="S16" s="6">
        <f t="shared" si="6"/>
        <v>0</v>
      </c>
      <c r="T16" s="6">
        <f t="shared" si="4"/>
        <v>126</v>
      </c>
      <c r="U16" s="6">
        <f t="shared" si="4"/>
        <v>633</v>
      </c>
      <c r="V16" s="6">
        <f t="shared" si="4"/>
        <v>31</v>
      </c>
      <c r="W16" s="6">
        <f t="shared" si="4"/>
        <v>72</v>
      </c>
      <c r="X16" s="6">
        <f t="shared" si="4"/>
        <v>15</v>
      </c>
      <c r="Y16" s="6">
        <f t="shared" si="4"/>
        <v>67</v>
      </c>
      <c r="Z16" s="6">
        <f t="shared" si="4"/>
        <v>0</v>
      </c>
      <c r="AA16" s="6">
        <f t="shared" si="4"/>
        <v>0</v>
      </c>
      <c r="AB16" s="6">
        <f t="shared" si="4"/>
        <v>669</v>
      </c>
      <c r="AC16" s="6">
        <f t="shared" si="4"/>
        <v>3050</v>
      </c>
      <c r="AD16" s="6">
        <f t="shared" si="4"/>
        <v>443</v>
      </c>
      <c r="AE16" s="6">
        <f t="shared" si="4"/>
        <v>2252</v>
      </c>
      <c r="AF16" s="6">
        <f t="shared" si="4"/>
        <v>378</v>
      </c>
      <c r="AG16" s="6">
        <f t="shared" si="4"/>
        <v>929</v>
      </c>
      <c r="AH16" s="6">
        <f t="shared" si="4"/>
        <v>2</v>
      </c>
      <c r="AI16" s="6">
        <f t="shared" si="4"/>
        <v>67</v>
      </c>
      <c r="AJ16" s="6">
        <f t="shared" si="4"/>
        <v>3</v>
      </c>
      <c r="AK16" s="6">
        <f t="shared" si="4"/>
        <v>83</v>
      </c>
      <c r="AL16" s="6">
        <f t="shared" si="4"/>
        <v>0</v>
      </c>
      <c r="AM16" s="6">
        <f t="shared" si="4"/>
        <v>0</v>
      </c>
      <c r="AN16" s="6">
        <f t="shared" si="4"/>
        <v>1</v>
      </c>
      <c r="AO16" s="6">
        <f t="shared" si="4"/>
        <v>222</v>
      </c>
      <c r="AP16" s="6">
        <f>SUM(AP3:AP15)</f>
        <v>0</v>
      </c>
      <c r="AQ16" s="6">
        <f>SUM(AQ3:AQ15)</f>
        <v>0</v>
      </c>
      <c r="AR16" s="6">
        <f t="shared" si="4"/>
        <v>1192</v>
      </c>
      <c r="AS16" s="6">
        <f t="shared" si="4"/>
        <v>5960</v>
      </c>
      <c r="AT16" s="25" t="s">
        <v>39</v>
      </c>
      <c r="AU16" s="26"/>
      <c r="AV16" s="27"/>
      <c r="AW16" s="6">
        <f t="shared" ref="AW16:BH16" si="7">SUM(AW3:AW15)</f>
        <v>17810</v>
      </c>
      <c r="AX16" s="6">
        <f t="shared" si="7"/>
        <v>21903</v>
      </c>
      <c r="AY16" s="7">
        <f t="shared" si="7"/>
        <v>27863</v>
      </c>
      <c r="AZ16" s="7">
        <f t="shared" si="7"/>
        <v>8124</v>
      </c>
    </row>
  </sheetData>
  <mergeCells count="27">
    <mergeCell ref="AR1:AS1"/>
    <mergeCell ref="AF1:AG1"/>
    <mergeCell ref="AH1:AI1"/>
    <mergeCell ref="AJ1:AK1"/>
    <mergeCell ref="AL1:AM1"/>
    <mergeCell ref="AN1:AO1"/>
    <mergeCell ref="AP1:AQ1"/>
    <mergeCell ref="AT1:AT2"/>
    <mergeCell ref="AU1:AU2"/>
    <mergeCell ref="J1:K1"/>
    <mergeCell ref="AT16:AV16"/>
    <mergeCell ref="A1:A2"/>
    <mergeCell ref="B1:B2"/>
    <mergeCell ref="C1:C2"/>
    <mergeCell ref="R1:S1"/>
    <mergeCell ref="T1:U1"/>
    <mergeCell ref="N1:O1"/>
    <mergeCell ref="P1:Q1"/>
    <mergeCell ref="AB1:AC1"/>
    <mergeCell ref="AD1:AE1"/>
    <mergeCell ref="D1:E1"/>
    <mergeCell ref="F1:G1"/>
    <mergeCell ref="H1:I1"/>
    <mergeCell ref="L1:M1"/>
    <mergeCell ref="V1:W1"/>
    <mergeCell ref="X1:Y1"/>
    <mergeCell ref="Z1:AA1"/>
  </mergeCells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DARPHEL</dc:creator>
  <cp:lastModifiedBy>Sandrine DARPHEL</cp:lastModifiedBy>
  <cp:lastPrinted>2026-03-31T13:13:58Z</cp:lastPrinted>
  <dcterms:created xsi:type="dcterms:W3CDTF">2025-04-17T08:51:52Z</dcterms:created>
  <dcterms:modified xsi:type="dcterms:W3CDTF">2026-04-14T07:11:33Z</dcterms:modified>
</cp:coreProperties>
</file>