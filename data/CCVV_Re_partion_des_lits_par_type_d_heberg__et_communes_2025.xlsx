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darphel\Desktop\"/>
    </mc:Choice>
  </mc:AlternateContent>
  <xr:revisionPtr revIDLastSave="0" documentId="13_ncr:1_{54271C0E-CC04-4D1B-B183-466AEEDF6AF0}" xr6:coauthVersionLast="36" xr6:coauthVersionMax="36" xr10:uidLastSave="{00000000-0000-0000-0000-000000000000}"/>
  <bookViews>
    <workbookView xWindow="0" yWindow="0" windowWidth="28800" windowHeight="11805" xr2:uid="{A55CE800-9077-445A-8BD0-7039073A318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4" i="1" l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X3" i="1"/>
  <c r="AW3" i="1"/>
  <c r="S29" i="1" l="1"/>
  <c r="R29" i="1"/>
  <c r="K29" i="1"/>
  <c r="J29" i="1"/>
  <c r="AZ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Q29" i="1"/>
  <c r="P29" i="1"/>
  <c r="O29" i="1"/>
  <c r="N29" i="1"/>
  <c r="M29" i="1"/>
  <c r="L29" i="1"/>
  <c r="I29" i="1"/>
  <c r="H29" i="1"/>
  <c r="G29" i="1"/>
  <c r="F29" i="1"/>
  <c r="E29" i="1"/>
  <c r="D29" i="1"/>
  <c r="AS28" i="1"/>
  <c r="AS27" i="1"/>
  <c r="AY27" i="1" s="1"/>
  <c r="AS26" i="1"/>
  <c r="AS25" i="1"/>
  <c r="AS24" i="1"/>
  <c r="AS23" i="1"/>
  <c r="AS22" i="1"/>
  <c r="AY22" i="1" s="1"/>
  <c r="AS21" i="1"/>
  <c r="AS20" i="1"/>
  <c r="AS19" i="1"/>
  <c r="AS18" i="1"/>
  <c r="AS17" i="1"/>
  <c r="AS16" i="1"/>
  <c r="AS15" i="1"/>
  <c r="AS14" i="1"/>
  <c r="AS13" i="1"/>
  <c r="AS12" i="1"/>
  <c r="AS11" i="1"/>
  <c r="AS10" i="1"/>
  <c r="AS9" i="1"/>
  <c r="AS8" i="1"/>
  <c r="AS7" i="1"/>
  <c r="AS6" i="1"/>
  <c r="AS5" i="1"/>
  <c r="AS4" i="1"/>
  <c r="AS3" i="1"/>
  <c r="AY9" i="1" l="1"/>
  <c r="AY17" i="1"/>
  <c r="AY25" i="1"/>
  <c r="AY10" i="1"/>
  <c r="AY4" i="1"/>
  <c r="AY5" i="1"/>
  <c r="AY26" i="1"/>
  <c r="AY7" i="1"/>
  <c r="AY12" i="1"/>
  <c r="AY28" i="1"/>
  <c r="AY15" i="1"/>
  <c r="AY23" i="1"/>
  <c r="AY3" i="1"/>
  <c r="AY8" i="1"/>
  <c r="AY13" i="1"/>
  <c r="AY21" i="1"/>
  <c r="AY14" i="1"/>
  <c r="AY24" i="1"/>
  <c r="AY6" i="1"/>
  <c r="AY11" i="1"/>
  <c r="AY19" i="1"/>
  <c r="AY20" i="1"/>
  <c r="AS29" i="1"/>
  <c r="AY18" i="1"/>
  <c r="AW29" i="1"/>
  <c r="AX29" i="1"/>
  <c r="AY16" i="1"/>
  <c r="AY29" i="1" l="1"/>
</calcChain>
</file>

<file path=xl/sharedStrings.xml><?xml version="1.0" encoding="utf-8"?>
<sst xmlns="http://schemas.openxmlformats.org/spreadsheetml/2006/main" count="183" uniqueCount="66">
  <si>
    <t>Communes</t>
  </si>
  <si>
    <t>Code INSEE</t>
  </si>
  <si>
    <t>EPCI</t>
  </si>
  <si>
    <t>Hôtels</t>
  </si>
  <si>
    <t>Hôtels non classés</t>
  </si>
  <si>
    <t>Campings</t>
  </si>
  <si>
    <t>Cpgs non classés</t>
  </si>
  <si>
    <t>GDF</t>
  </si>
  <si>
    <t>CH GDF</t>
  </si>
  <si>
    <t>CLE</t>
  </si>
  <si>
    <t>CH CLE</t>
  </si>
  <si>
    <t>Meub.classés</t>
  </si>
  <si>
    <t>Meub non cl.</t>
  </si>
  <si>
    <t>Autres CH</t>
  </si>
  <si>
    <t>Gîte d'étape GF</t>
  </si>
  <si>
    <t>Accu. grp</t>
  </si>
  <si>
    <t>VV classés</t>
  </si>
  <si>
    <t>VV non classés</t>
  </si>
  <si>
    <t>Res. 2aires</t>
  </si>
  <si>
    <t>Cantons</t>
  </si>
  <si>
    <t>Lits</t>
  </si>
  <si>
    <t>Nb</t>
  </si>
  <si>
    <t>classés</t>
  </si>
  <si>
    <t>marchands</t>
  </si>
  <si>
    <t>Périgord Central</t>
  </si>
  <si>
    <t>Vallée Dordogne</t>
  </si>
  <si>
    <t>Terrasson</t>
  </si>
  <si>
    <t>Aubas</t>
  </si>
  <si>
    <t>Vallée de l'Homme</t>
  </si>
  <si>
    <t>Audrix</t>
  </si>
  <si>
    <t>Bugue (Le)</t>
  </si>
  <si>
    <t>Campagne</t>
  </si>
  <si>
    <t>Chapelle Aubareil (La)</t>
  </si>
  <si>
    <t>Coly - Saint Amand</t>
  </si>
  <si>
    <t>Fanlac</t>
  </si>
  <si>
    <t>Farges (Les)</t>
  </si>
  <si>
    <t>Fleurac</t>
  </si>
  <si>
    <t>Journiac</t>
  </si>
  <si>
    <t>Les Eyzies</t>
  </si>
  <si>
    <t>Limeuil</t>
  </si>
  <si>
    <t>Mauzens et Miremont</t>
  </si>
  <si>
    <t>Montignac</t>
  </si>
  <si>
    <t>Peyzac le Moustier</t>
  </si>
  <si>
    <t>Plazac</t>
  </si>
  <si>
    <t>Rouffignac Saint Cernin de Reilhac</t>
  </si>
  <si>
    <t>Saint Avit de Vialard</t>
  </si>
  <si>
    <t>Saint Chamassy</t>
  </si>
  <si>
    <t>Saint Félix de Reilhac et Mortemart</t>
  </si>
  <si>
    <t>Saint Léon sur Vézère</t>
  </si>
  <si>
    <t>Savignac de Miremont</t>
  </si>
  <si>
    <t>Sergeac</t>
  </si>
  <si>
    <t>Thonac</t>
  </si>
  <si>
    <t>Tursac</t>
  </si>
  <si>
    <t>Valojoulx</t>
  </si>
  <si>
    <t>VALLEE DE L'HOMME</t>
  </si>
  <si>
    <t>RT classés</t>
  </si>
  <si>
    <t>RT non classés</t>
  </si>
  <si>
    <t>PRL classés</t>
  </si>
  <si>
    <t>PRL non classés</t>
  </si>
  <si>
    <t>Total lits</t>
  </si>
  <si>
    <t xml:space="preserve">Total lits </t>
  </si>
  <si>
    <t>Total lits march.</t>
  </si>
  <si>
    <t>+ res. sec</t>
  </si>
  <si>
    <t>Nb lits en</t>
  </si>
  <si>
    <t xml:space="preserve"> res. ppales</t>
  </si>
  <si>
    <t>Auberge collective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</si>
</sst>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5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8"/>
      <color indexed="10"/>
      <name val="Arial"/>
      <family val="2"/>
    </font>
    <font>
      <sz val="8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Continuous"/>
    </xf>
    <xf numFmtId="164" fontId="4" fillId="3" borderId="1" xfId="0" applyNumberFormat="1" applyFont="1" applyFill="1" applyBorder="1" applyAlignment="1">
      <alignment horizontal="centerContinuous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2" fillId="4" borderId="1" xfId="0" applyFont="1" applyFill="1" applyBorder="1"/>
    <xf numFmtId="164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 vertical="center"/>
    </xf>
    <xf numFmtId="0" fontId="2" fillId="2" borderId="0" xfId="0" applyFont="1" applyFill="1"/>
    <xf numFmtId="164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Fill="1"/>
    <xf numFmtId="49" fontId="1" fillId="0" borderId="2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164" fontId="1" fillId="0" borderId="5" xfId="0" applyNumberFormat="1" applyFont="1" applyFill="1" applyBorder="1" applyAlignment="1">
      <alignment horizontal="center" vertical="center"/>
    </xf>
    <xf numFmtId="164" fontId="1" fillId="0" borderId="6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5CC4B-9986-46C4-A16A-3BF1B201D68C}">
  <dimension ref="A1:AZ30"/>
  <sheetViews>
    <sheetView tabSelected="1" zoomScale="150" zoomScaleNormal="150" workbookViewId="0">
      <pane ySplit="1" topLeftCell="A2" activePane="bottomLeft" state="frozen"/>
      <selection pane="bottomLeft" activeCell="BH1" sqref="BA1:BH1048576"/>
    </sheetView>
  </sheetViews>
  <sheetFormatPr baseColWidth="10" defaultRowHeight="15" x14ac:dyDescent="0.25"/>
  <cols>
    <col min="1" max="1" width="25.5703125" bestFit="1" customWidth="1"/>
    <col min="2" max="2" width="11.42578125" customWidth="1"/>
    <col min="3" max="3" width="35.28515625" customWidth="1"/>
    <col min="4" max="43" width="7.42578125" customWidth="1"/>
    <col min="44" max="45" width="8.7109375" customWidth="1"/>
    <col min="46" max="46" width="25.5703125" bestFit="1" customWidth="1"/>
    <col min="48" max="48" width="0" hidden="1" customWidth="1"/>
  </cols>
  <sheetData>
    <row r="1" spans="1:52" x14ac:dyDescent="0.25">
      <c r="A1" s="31" t="s">
        <v>0</v>
      </c>
      <c r="B1" s="29" t="s">
        <v>1</v>
      </c>
      <c r="C1" s="33" t="s">
        <v>2</v>
      </c>
      <c r="D1" s="23" t="s">
        <v>3</v>
      </c>
      <c r="E1" s="24"/>
      <c r="F1" s="23" t="s">
        <v>4</v>
      </c>
      <c r="G1" s="24"/>
      <c r="H1" s="23" t="s">
        <v>55</v>
      </c>
      <c r="I1" s="24"/>
      <c r="J1" s="23" t="s">
        <v>56</v>
      </c>
      <c r="K1" s="24"/>
      <c r="L1" s="23" t="s">
        <v>5</v>
      </c>
      <c r="M1" s="24"/>
      <c r="N1" s="23" t="s">
        <v>6</v>
      </c>
      <c r="O1" s="24"/>
      <c r="P1" s="25" t="s">
        <v>57</v>
      </c>
      <c r="Q1" s="26"/>
      <c r="R1" s="25" t="s">
        <v>58</v>
      </c>
      <c r="S1" s="26"/>
      <c r="T1" s="25" t="s">
        <v>7</v>
      </c>
      <c r="U1" s="26"/>
      <c r="V1" s="25" t="s">
        <v>8</v>
      </c>
      <c r="W1" s="26"/>
      <c r="X1" s="25" t="s">
        <v>9</v>
      </c>
      <c r="Y1" s="26"/>
      <c r="Z1" s="25" t="s">
        <v>10</v>
      </c>
      <c r="AA1" s="26"/>
      <c r="AB1" s="25" t="s">
        <v>11</v>
      </c>
      <c r="AC1" s="26"/>
      <c r="AD1" s="25" t="s">
        <v>12</v>
      </c>
      <c r="AE1" s="26"/>
      <c r="AF1" s="25" t="s">
        <v>13</v>
      </c>
      <c r="AG1" s="26"/>
      <c r="AH1" s="25" t="s">
        <v>14</v>
      </c>
      <c r="AI1" s="26"/>
      <c r="AJ1" s="25" t="s">
        <v>15</v>
      </c>
      <c r="AK1" s="26"/>
      <c r="AL1" s="23" t="s">
        <v>65</v>
      </c>
      <c r="AM1" s="24"/>
      <c r="AN1" s="23" t="s">
        <v>16</v>
      </c>
      <c r="AO1" s="24"/>
      <c r="AP1" s="23" t="s">
        <v>17</v>
      </c>
      <c r="AQ1" s="24"/>
      <c r="AR1" s="23" t="s">
        <v>18</v>
      </c>
      <c r="AS1" s="24"/>
      <c r="AT1" s="27" t="s">
        <v>0</v>
      </c>
      <c r="AU1" s="29" t="s">
        <v>1</v>
      </c>
      <c r="AV1" s="2" t="s">
        <v>19</v>
      </c>
      <c r="AW1" s="2" t="s">
        <v>59</v>
      </c>
      <c r="AX1" s="2" t="s">
        <v>60</v>
      </c>
      <c r="AY1" s="19" t="s">
        <v>61</v>
      </c>
      <c r="AZ1" s="3" t="s">
        <v>63</v>
      </c>
    </row>
    <row r="2" spans="1:52" x14ac:dyDescent="0.25">
      <c r="A2" s="32"/>
      <c r="B2" s="30"/>
      <c r="C2" s="34"/>
      <c r="D2" s="1" t="s">
        <v>21</v>
      </c>
      <c r="E2" s="1" t="s">
        <v>20</v>
      </c>
      <c r="F2" s="1" t="s">
        <v>21</v>
      </c>
      <c r="G2" s="1" t="s">
        <v>20</v>
      </c>
      <c r="H2" s="1" t="s">
        <v>21</v>
      </c>
      <c r="I2" s="1" t="s">
        <v>20</v>
      </c>
      <c r="J2" s="1" t="s">
        <v>21</v>
      </c>
      <c r="K2" s="1" t="s">
        <v>20</v>
      </c>
      <c r="L2" s="1" t="s">
        <v>21</v>
      </c>
      <c r="M2" s="1" t="s">
        <v>20</v>
      </c>
      <c r="N2" s="1" t="s">
        <v>21</v>
      </c>
      <c r="O2" s="1" t="s">
        <v>20</v>
      </c>
      <c r="P2" s="1" t="s">
        <v>21</v>
      </c>
      <c r="Q2" s="1" t="s">
        <v>20</v>
      </c>
      <c r="R2" s="1" t="s">
        <v>21</v>
      </c>
      <c r="S2" s="1" t="s">
        <v>20</v>
      </c>
      <c r="T2" s="1" t="s">
        <v>21</v>
      </c>
      <c r="U2" s="1" t="s">
        <v>20</v>
      </c>
      <c r="V2" s="1" t="s">
        <v>21</v>
      </c>
      <c r="W2" s="1" t="s">
        <v>20</v>
      </c>
      <c r="X2" s="1" t="s">
        <v>21</v>
      </c>
      <c r="Y2" s="1" t="s">
        <v>20</v>
      </c>
      <c r="Z2" s="1" t="s">
        <v>21</v>
      </c>
      <c r="AA2" s="1" t="s">
        <v>20</v>
      </c>
      <c r="AB2" s="1" t="s">
        <v>21</v>
      </c>
      <c r="AC2" s="1" t="s">
        <v>20</v>
      </c>
      <c r="AD2" s="1" t="s">
        <v>21</v>
      </c>
      <c r="AE2" s="1" t="s">
        <v>20</v>
      </c>
      <c r="AF2" s="1" t="s">
        <v>21</v>
      </c>
      <c r="AG2" s="1" t="s">
        <v>20</v>
      </c>
      <c r="AH2" s="1" t="s">
        <v>21</v>
      </c>
      <c r="AI2" s="1" t="s">
        <v>20</v>
      </c>
      <c r="AJ2" s="1" t="s">
        <v>21</v>
      </c>
      <c r="AK2" s="1" t="s">
        <v>20</v>
      </c>
      <c r="AL2" s="2" t="s">
        <v>21</v>
      </c>
      <c r="AM2" s="2" t="s">
        <v>20</v>
      </c>
      <c r="AN2" s="2" t="s">
        <v>21</v>
      </c>
      <c r="AO2" s="2" t="s">
        <v>20</v>
      </c>
      <c r="AP2" s="2" t="s">
        <v>21</v>
      </c>
      <c r="AQ2" s="2" t="s">
        <v>20</v>
      </c>
      <c r="AR2" s="2" t="s">
        <v>21</v>
      </c>
      <c r="AS2" s="2" t="s">
        <v>20</v>
      </c>
      <c r="AT2" s="28"/>
      <c r="AU2" s="30"/>
      <c r="AV2" s="2"/>
      <c r="AW2" s="2" t="s">
        <v>22</v>
      </c>
      <c r="AX2" s="2" t="s">
        <v>23</v>
      </c>
      <c r="AY2" s="19" t="s">
        <v>62</v>
      </c>
      <c r="AZ2" s="3" t="s">
        <v>64</v>
      </c>
    </row>
    <row r="3" spans="1:52" x14ac:dyDescent="0.25">
      <c r="A3" s="8" t="s">
        <v>27</v>
      </c>
      <c r="B3" s="9">
        <v>14</v>
      </c>
      <c r="C3" s="10" t="s">
        <v>28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>
        <v>2</v>
      </c>
      <c r="U3" s="10">
        <v>10</v>
      </c>
      <c r="V3" s="10">
        <v>2</v>
      </c>
      <c r="W3" s="10">
        <v>4</v>
      </c>
      <c r="X3" s="10">
        <v>2</v>
      </c>
      <c r="Y3" s="10">
        <v>8</v>
      </c>
      <c r="Z3" s="10"/>
      <c r="AA3" s="10"/>
      <c r="AB3" s="10">
        <v>12</v>
      </c>
      <c r="AC3" s="10">
        <v>60</v>
      </c>
      <c r="AD3" s="10">
        <v>13</v>
      </c>
      <c r="AE3" s="10">
        <v>64</v>
      </c>
      <c r="AF3" s="10">
        <v>6</v>
      </c>
      <c r="AG3" s="10">
        <v>16</v>
      </c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>
        <v>24</v>
      </c>
      <c r="AS3" s="10">
        <f t="shared" ref="AS3:AS28" si="0">AR3*5</f>
        <v>120</v>
      </c>
      <c r="AT3" s="8" t="s">
        <v>27</v>
      </c>
      <c r="AU3" s="9">
        <v>14</v>
      </c>
      <c r="AV3" s="10" t="s">
        <v>28</v>
      </c>
      <c r="AW3" s="10">
        <f t="shared" ref="AW3:AW28" si="1">E3+I3+M3+Q3+U3+W3+Y3+AA3+AC3+AI3+AM3+AO3</f>
        <v>82</v>
      </c>
      <c r="AX3" s="10">
        <f t="shared" ref="AX3:AX28" si="2">E3+G3+I3+K3+M3+O3+Q3+S3+U3+W3+Y3+AA3+AC3+AE3+AG3+AI3+AK3+AM3+AO3+AQ3</f>
        <v>162</v>
      </c>
      <c r="AY3" s="11">
        <f t="shared" ref="AY3:AY28" si="3">AX3+AS3</f>
        <v>282</v>
      </c>
      <c r="AZ3" s="12">
        <v>288</v>
      </c>
    </row>
    <row r="4" spans="1:52" x14ac:dyDescent="0.25">
      <c r="A4" s="8" t="s">
        <v>29</v>
      </c>
      <c r="B4" s="9">
        <v>15</v>
      </c>
      <c r="C4" s="10" t="s">
        <v>28</v>
      </c>
      <c r="D4" s="10">
        <v>1</v>
      </c>
      <c r="E4" s="10">
        <v>15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>
        <v>6</v>
      </c>
      <c r="AC4" s="10">
        <v>24</v>
      </c>
      <c r="AD4" s="10">
        <v>4</v>
      </c>
      <c r="AE4" s="10">
        <v>17</v>
      </c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>
        <v>27</v>
      </c>
      <c r="AS4" s="10">
        <f t="shared" si="0"/>
        <v>135</v>
      </c>
      <c r="AT4" s="8" t="s">
        <v>29</v>
      </c>
      <c r="AU4" s="9">
        <v>15</v>
      </c>
      <c r="AV4" s="10" t="s">
        <v>25</v>
      </c>
      <c r="AW4" s="10">
        <f t="shared" si="1"/>
        <v>39</v>
      </c>
      <c r="AX4" s="10">
        <f t="shared" si="2"/>
        <v>56</v>
      </c>
      <c r="AY4" s="11">
        <f t="shared" si="3"/>
        <v>191</v>
      </c>
      <c r="AZ4" s="12">
        <v>138</v>
      </c>
    </row>
    <row r="5" spans="1:52" x14ac:dyDescent="0.25">
      <c r="A5" s="8" t="s">
        <v>30</v>
      </c>
      <c r="B5" s="9">
        <v>67</v>
      </c>
      <c r="C5" s="10" t="s">
        <v>28</v>
      </c>
      <c r="D5" s="10">
        <v>3</v>
      </c>
      <c r="E5" s="10">
        <v>185</v>
      </c>
      <c r="F5" s="10"/>
      <c r="G5" s="10"/>
      <c r="H5" s="10">
        <v>1</v>
      </c>
      <c r="I5" s="10">
        <v>383</v>
      </c>
      <c r="J5" s="10"/>
      <c r="K5" s="10"/>
      <c r="L5" s="10">
        <v>3</v>
      </c>
      <c r="M5" s="10">
        <v>1392</v>
      </c>
      <c r="N5" s="10"/>
      <c r="O5" s="10"/>
      <c r="P5" s="10"/>
      <c r="Q5" s="10"/>
      <c r="R5" s="10"/>
      <c r="S5" s="10"/>
      <c r="T5" s="10">
        <v>9</v>
      </c>
      <c r="U5" s="10">
        <v>41</v>
      </c>
      <c r="V5" s="10"/>
      <c r="W5" s="10"/>
      <c r="X5" s="10">
        <v>1</v>
      </c>
      <c r="Y5" s="10">
        <v>4</v>
      </c>
      <c r="Z5" s="10"/>
      <c r="AA5" s="10"/>
      <c r="AB5" s="10">
        <v>44</v>
      </c>
      <c r="AC5" s="10">
        <v>199</v>
      </c>
      <c r="AD5" s="10">
        <v>27</v>
      </c>
      <c r="AE5" s="10">
        <v>138</v>
      </c>
      <c r="AF5" s="10">
        <v>24</v>
      </c>
      <c r="AG5" s="10">
        <v>54</v>
      </c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>
        <v>246</v>
      </c>
      <c r="AS5" s="10">
        <f t="shared" si="0"/>
        <v>1230</v>
      </c>
      <c r="AT5" s="8" t="s">
        <v>30</v>
      </c>
      <c r="AU5" s="9">
        <v>67</v>
      </c>
      <c r="AV5" s="10" t="s">
        <v>28</v>
      </c>
      <c r="AW5" s="10">
        <f t="shared" si="1"/>
        <v>2204</v>
      </c>
      <c r="AX5" s="10">
        <f t="shared" si="2"/>
        <v>2396</v>
      </c>
      <c r="AY5" s="11">
        <f t="shared" si="3"/>
        <v>3626</v>
      </c>
      <c r="AZ5" s="12">
        <v>1347</v>
      </c>
    </row>
    <row r="6" spans="1:52" x14ac:dyDescent="0.25">
      <c r="A6" s="8" t="s">
        <v>31</v>
      </c>
      <c r="B6" s="9">
        <v>76</v>
      </c>
      <c r="C6" s="10" t="s">
        <v>28</v>
      </c>
      <c r="D6" s="10"/>
      <c r="E6" s="10"/>
      <c r="F6" s="10"/>
      <c r="G6" s="10"/>
      <c r="H6" s="10"/>
      <c r="I6" s="10"/>
      <c r="J6" s="10"/>
      <c r="K6" s="10"/>
      <c r="L6" s="10">
        <v>1</v>
      </c>
      <c r="M6" s="10">
        <v>306</v>
      </c>
      <c r="N6" s="10"/>
      <c r="O6" s="10"/>
      <c r="P6" s="10"/>
      <c r="Q6" s="10"/>
      <c r="R6" s="10"/>
      <c r="S6" s="10"/>
      <c r="T6" s="10">
        <v>1</v>
      </c>
      <c r="U6" s="10">
        <v>6</v>
      </c>
      <c r="V6" s="10"/>
      <c r="W6" s="10"/>
      <c r="X6" s="10"/>
      <c r="Y6" s="10"/>
      <c r="Z6" s="10"/>
      <c r="AA6" s="10"/>
      <c r="AB6" s="10">
        <v>3</v>
      </c>
      <c r="AC6" s="10">
        <v>16</v>
      </c>
      <c r="AD6" s="10">
        <v>8</v>
      </c>
      <c r="AE6" s="10">
        <v>27</v>
      </c>
      <c r="AF6" s="10">
        <v>9</v>
      </c>
      <c r="AG6" s="10">
        <v>23</v>
      </c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>
        <v>47</v>
      </c>
      <c r="AS6" s="10">
        <f t="shared" si="0"/>
        <v>235</v>
      </c>
      <c r="AT6" s="8" t="s">
        <v>31</v>
      </c>
      <c r="AU6" s="9">
        <v>76</v>
      </c>
      <c r="AV6" s="10" t="s">
        <v>28</v>
      </c>
      <c r="AW6" s="10">
        <f t="shared" si="1"/>
        <v>328</v>
      </c>
      <c r="AX6" s="10">
        <f t="shared" si="2"/>
        <v>378</v>
      </c>
      <c r="AY6" s="11">
        <f t="shared" si="3"/>
        <v>613</v>
      </c>
      <c r="AZ6" s="12">
        <v>203</v>
      </c>
    </row>
    <row r="7" spans="1:52" x14ac:dyDescent="0.25">
      <c r="A7" s="8" t="s">
        <v>32</v>
      </c>
      <c r="B7" s="9">
        <v>106</v>
      </c>
      <c r="C7" s="10" t="s">
        <v>28</v>
      </c>
      <c r="D7" s="10">
        <v>1</v>
      </c>
      <c r="E7" s="10">
        <v>43</v>
      </c>
      <c r="F7" s="10"/>
      <c r="G7" s="10"/>
      <c r="H7" s="10"/>
      <c r="I7" s="10"/>
      <c r="J7" s="10"/>
      <c r="K7" s="10"/>
      <c r="L7" s="10">
        <v>1</v>
      </c>
      <c r="M7" s="10">
        <v>276</v>
      </c>
      <c r="N7" s="10"/>
      <c r="O7" s="10"/>
      <c r="P7" s="10">
        <v>1</v>
      </c>
      <c r="Q7" s="10">
        <v>40</v>
      </c>
      <c r="R7" s="10"/>
      <c r="S7" s="10"/>
      <c r="T7" s="10">
        <v>1</v>
      </c>
      <c r="U7" s="10">
        <v>6</v>
      </c>
      <c r="V7" s="10"/>
      <c r="W7" s="10"/>
      <c r="X7" s="10"/>
      <c r="Y7" s="10"/>
      <c r="Z7" s="10"/>
      <c r="AA7" s="10"/>
      <c r="AB7" s="10">
        <v>11</v>
      </c>
      <c r="AC7" s="10">
        <v>62</v>
      </c>
      <c r="AD7" s="10">
        <v>19</v>
      </c>
      <c r="AE7" s="10">
        <v>128</v>
      </c>
      <c r="AF7" s="10">
        <v>28</v>
      </c>
      <c r="AG7" s="10">
        <v>63</v>
      </c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>
        <v>89</v>
      </c>
      <c r="AS7" s="10">
        <f t="shared" si="0"/>
        <v>445</v>
      </c>
      <c r="AT7" s="8" t="s">
        <v>32</v>
      </c>
      <c r="AU7" s="9">
        <v>106</v>
      </c>
      <c r="AV7" s="10" t="s">
        <v>28</v>
      </c>
      <c r="AW7" s="10">
        <f t="shared" si="1"/>
        <v>427</v>
      </c>
      <c r="AX7" s="10">
        <f t="shared" si="2"/>
        <v>618</v>
      </c>
      <c r="AY7" s="11">
        <f t="shared" si="3"/>
        <v>1063</v>
      </c>
      <c r="AZ7" s="12">
        <v>249</v>
      </c>
    </row>
    <row r="8" spans="1:52" x14ac:dyDescent="0.25">
      <c r="A8" s="8" t="s">
        <v>33</v>
      </c>
      <c r="B8" s="9">
        <v>127</v>
      </c>
      <c r="C8" s="10" t="s">
        <v>28</v>
      </c>
      <c r="D8" s="10">
        <v>1</v>
      </c>
      <c r="E8" s="10">
        <v>43</v>
      </c>
      <c r="F8" s="10">
        <v>1</v>
      </c>
      <c r="G8" s="10">
        <v>10</v>
      </c>
      <c r="H8" s="10">
        <v>1</v>
      </c>
      <c r="I8" s="10">
        <v>442</v>
      </c>
      <c r="J8" s="10"/>
      <c r="K8" s="10"/>
      <c r="L8" s="10">
        <v>2</v>
      </c>
      <c r="M8" s="10">
        <v>627</v>
      </c>
      <c r="N8" s="10"/>
      <c r="O8" s="10"/>
      <c r="P8" s="10"/>
      <c r="Q8" s="10"/>
      <c r="R8" s="10">
        <v>2</v>
      </c>
      <c r="S8" s="10">
        <v>522</v>
      </c>
      <c r="T8" s="10">
        <v>6</v>
      </c>
      <c r="U8" s="10">
        <v>34</v>
      </c>
      <c r="V8" s="10"/>
      <c r="W8" s="10"/>
      <c r="X8" s="10"/>
      <c r="Y8" s="10"/>
      <c r="Z8" s="10"/>
      <c r="AA8" s="10"/>
      <c r="AB8" s="10">
        <v>19</v>
      </c>
      <c r="AC8" s="10">
        <v>111</v>
      </c>
      <c r="AD8" s="10">
        <v>35</v>
      </c>
      <c r="AE8" s="10">
        <v>218</v>
      </c>
      <c r="AF8" s="10">
        <v>25</v>
      </c>
      <c r="AG8" s="10">
        <v>70</v>
      </c>
      <c r="AH8" s="10"/>
      <c r="AI8" s="10"/>
      <c r="AJ8" s="10">
        <v>1</v>
      </c>
      <c r="AK8" s="10">
        <v>9</v>
      </c>
      <c r="AL8" s="10"/>
      <c r="AM8" s="10"/>
      <c r="AN8" s="10"/>
      <c r="AO8" s="10"/>
      <c r="AP8" s="10"/>
      <c r="AQ8" s="10"/>
      <c r="AR8" s="10">
        <v>132</v>
      </c>
      <c r="AS8" s="10">
        <f>AR8*5</f>
        <v>660</v>
      </c>
      <c r="AT8" s="8" t="s">
        <v>33</v>
      </c>
      <c r="AU8" s="9">
        <v>127</v>
      </c>
      <c r="AV8" s="10" t="s">
        <v>26</v>
      </c>
      <c r="AW8" s="10">
        <f t="shared" si="1"/>
        <v>1257</v>
      </c>
      <c r="AX8" s="10">
        <f t="shared" si="2"/>
        <v>2086</v>
      </c>
      <c r="AY8" s="11">
        <f>AX8+AS8</f>
        <v>2746</v>
      </c>
      <c r="AZ8" s="12">
        <v>289</v>
      </c>
    </row>
    <row r="9" spans="1:52" x14ac:dyDescent="0.25">
      <c r="A9" s="8" t="s">
        <v>34</v>
      </c>
      <c r="B9" s="9">
        <v>174</v>
      </c>
      <c r="C9" s="10" t="s">
        <v>28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>
        <v>1</v>
      </c>
      <c r="Y9" s="10">
        <v>2</v>
      </c>
      <c r="Z9" s="10"/>
      <c r="AA9" s="10"/>
      <c r="AB9" s="10">
        <v>1</v>
      </c>
      <c r="AC9" s="10">
        <v>4</v>
      </c>
      <c r="AD9" s="10">
        <v>8</v>
      </c>
      <c r="AE9" s="10">
        <v>51</v>
      </c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>
        <v>34</v>
      </c>
      <c r="AS9" s="10">
        <f t="shared" si="0"/>
        <v>170</v>
      </c>
      <c r="AT9" s="8" t="s">
        <v>34</v>
      </c>
      <c r="AU9" s="9">
        <v>174</v>
      </c>
      <c r="AV9" s="10" t="s">
        <v>28</v>
      </c>
      <c r="AW9" s="10">
        <f t="shared" si="1"/>
        <v>6</v>
      </c>
      <c r="AX9" s="10">
        <f t="shared" si="2"/>
        <v>57</v>
      </c>
      <c r="AY9" s="11">
        <f t="shared" si="3"/>
        <v>227</v>
      </c>
      <c r="AZ9" s="12">
        <v>74</v>
      </c>
    </row>
    <row r="10" spans="1:52" x14ac:dyDescent="0.25">
      <c r="A10" s="8" t="s">
        <v>35</v>
      </c>
      <c r="B10" s="9">
        <v>175</v>
      </c>
      <c r="C10" s="10" t="s">
        <v>28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>
        <v>3</v>
      </c>
      <c r="AC10" s="10">
        <v>7</v>
      </c>
      <c r="AD10" s="10">
        <v>9</v>
      </c>
      <c r="AE10" s="10">
        <v>37</v>
      </c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>
        <v>15</v>
      </c>
      <c r="AS10" s="10">
        <f t="shared" si="0"/>
        <v>75</v>
      </c>
      <c r="AT10" s="8" t="s">
        <v>35</v>
      </c>
      <c r="AU10" s="9">
        <v>175</v>
      </c>
      <c r="AV10" s="10" t="s">
        <v>28</v>
      </c>
      <c r="AW10" s="10">
        <f t="shared" si="1"/>
        <v>7</v>
      </c>
      <c r="AX10" s="10">
        <f t="shared" si="2"/>
        <v>44</v>
      </c>
      <c r="AY10" s="11">
        <f t="shared" si="3"/>
        <v>119</v>
      </c>
      <c r="AZ10" s="12">
        <v>146</v>
      </c>
    </row>
    <row r="11" spans="1:52" x14ac:dyDescent="0.25">
      <c r="A11" s="8" t="s">
        <v>36</v>
      </c>
      <c r="B11" s="9">
        <v>183</v>
      </c>
      <c r="C11" s="10" t="s">
        <v>28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>
        <v>3</v>
      </c>
      <c r="U11" s="10">
        <v>13</v>
      </c>
      <c r="V11" s="10">
        <v>3</v>
      </c>
      <c r="W11" s="10">
        <v>8</v>
      </c>
      <c r="X11" s="10">
        <v>1</v>
      </c>
      <c r="Y11" s="10">
        <v>4</v>
      </c>
      <c r="Z11" s="10"/>
      <c r="AA11" s="10"/>
      <c r="AB11" s="10">
        <v>4</v>
      </c>
      <c r="AC11" s="10">
        <v>31</v>
      </c>
      <c r="AD11" s="10">
        <v>10</v>
      </c>
      <c r="AE11" s="10">
        <v>67</v>
      </c>
      <c r="AF11" s="10">
        <v>1</v>
      </c>
      <c r="AG11" s="10">
        <v>2</v>
      </c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>
        <v>92</v>
      </c>
      <c r="AS11" s="10">
        <f t="shared" si="0"/>
        <v>460</v>
      </c>
      <c r="AT11" s="8" t="s">
        <v>36</v>
      </c>
      <c r="AU11" s="9">
        <v>183</v>
      </c>
      <c r="AV11" s="10" t="s">
        <v>28</v>
      </c>
      <c r="AW11" s="10">
        <f t="shared" si="1"/>
        <v>56</v>
      </c>
      <c r="AX11" s="10">
        <f t="shared" si="2"/>
        <v>125</v>
      </c>
      <c r="AY11" s="11">
        <f t="shared" si="3"/>
        <v>585</v>
      </c>
      <c r="AZ11" s="12">
        <v>157</v>
      </c>
    </row>
    <row r="12" spans="1:52" x14ac:dyDescent="0.25">
      <c r="A12" s="8" t="s">
        <v>37</v>
      </c>
      <c r="B12" s="9">
        <v>217</v>
      </c>
      <c r="C12" s="10" t="s">
        <v>28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1</v>
      </c>
      <c r="U12" s="10">
        <v>4</v>
      </c>
      <c r="V12" s="10"/>
      <c r="W12" s="10"/>
      <c r="X12" s="10"/>
      <c r="Y12" s="10"/>
      <c r="Z12" s="10"/>
      <c r="AA12" s="10"/>
      <c r="AB12" s="10">
        <v>2</v>
      </c>
      <c r="AC12" s="10">
        <v>8</v>
      </c>
      <c r="AD12" s="10">
        <v>15</v>
      </c>
      <c r="AE12" s="10">
        <v>100</v>
      </c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>
        <v>38</v>
      </c>
      <c r="AS12" s="10">
        <f t="shared" si="0"/>
        <v>190</v>
      </c>
      <c r="AT12" s="8" t="s">
        <v>37</v>
      </c>
      <c r="AU12" s="9">
        <v>217</v>
      </c>
      <c r="AV12" s="10" t="s">
        <v>28</v>
      </c>
      <c r="AW12" s="10">
        <f t="shared" si="1"/>
        <v>12</v>
      </c>
      <c r="AX12" s="10">
        <f t="shared" si="2"/>
        <v>112</v>
      </c>
      <c r="AY12" s="11">
        <f t="shared" si="3"/>
        <v>302</v>
      </c>
      <c r="AZ12" s="12">
        <v>216</v>
      </c>
    </row>
    <row r="13" spans="1:52" x14ac:dyDescent="0.25">
      <c r="A13" s="8" t="s">
        <v>38</v>
      </c>
      <c r="B13" s="9">
        <v>172</v>
      </c>
      <c r="C13" s="10" t="s">
        <v>28</v>
      </c>
      <c r="D13" s="10">
        <v>7</v>
      </c>
      <c r="E13" s="10">
        <v>314</v>
      </c>
      <c r="F13" s="10">
        <v>1</v>
      </c>
      <c r="G13" s="10">
        <v>32</v>
      </c>
      <c r="H13" s="10">
        <v>1</v>
      </c>
      <c r="I13" s="10">
        <v>536</v>
      </c>
      <c r="J13" s="10"/>
      <c r="K13" s="10"/>
      <c r="L13" s="10">
        <v>4</v>
      </c>
      <c r="M13" s="10">
        <v>1522</v>
      </c>
      <c r="N13" s="10">
        <v>1</v>
      </c>
      <c r="O13" s="10">
        <v>27</v>
      </c>
      <c r="P13" s="10"/>
      <c r="Q13" s="10"/>
      <c r="R13" s="10"/>
      <c r="S13" s="10"/>
      <c r="T13" s="10">
        <v>11</v>
      </c>
      <c r="U13" s="10">
        <v>49</v>
      </c>
      <c r="V13" s="10"/>
      <c r="W13" s="10"/>
      <c r="X13" s="10">
        <v>2</v>
      </c>
      <c r="Y13" s="10">
        <v>9</v>
      </c>
      <c r="Z13" s="10"/>
      <c r="AA13" s="10"/>
      <c r="AB13" s="10">
        <v>33</v>
      </c>
      <c r="AC13" s="10">
        <v>152</v>
      </c>
      <c r="AD13" s="10">
        <v>49</v>
      </c>
      <c r="AE13" s="10">
        <v>225</v>
      </c>
      <c r="AF13" s="10">
        <v>49</v>
      </c>
      <c r="AG13" s="10">
        <v>104</v>
      </c>
      <c r="AH13" s="10"/>
      <c r="AI13" s="10"/>
      <c r="AJ13" s="10">
        <v>1</v>
      </c>
      <c r="AK13" s="10">
        <v>99</v>
      </c>
      <c r="AL13" s="10"/>
      <c r="AM13" s="10"/>
      <c r="AN13" s="10"/>
      <c r="AO13" s="10"/>
      <c r="AP13" s="10"/>
      <c r="AQ13" s="10"/>
      <c r="AR13" s="10">
        <v>361</v>
      </c>
      <c r="AS13" s="10">
        <f>AR13*5</f>
        <v>1805</v>
      </c>
      <c r="AT13" s="8" t="s">
        <v>38</v>
      </c>
      <c r="AU13" s="9">
        <v>172</v>
      </c>
      <c r="AV13" s="10" t="s">
        <v>28</v>
      </c>
      <c r="AW13" s="10">
        <f t="shared" si="1"/>
        <v>2582</v>
      </c>
      <c r="AX13" s="10">
        <f t="shared" si="2"/>
        <v>3069</v>
      </c>
      <c r="AY13" s="11">
        <f>AX13+AS13</f>
        <v>4874</v>
      </c>
      <c r="AZ13" s="12">
        <v>580</v>
      </c>
    </row>
    <row r="14" spans="1:52" x14ac:dyDescent="0.25">
      <c r="A14" s="8" t="s">
        <v>39</v>
      </c>
      <c r="B14" s="9">
        <v>240</v>
      </c>
      <c r="C14" s="10" t="s">
        <v>28</v>
      </c>
      <c r="D14" s="10">
        <v>1</v>
      </c>
      <c r="E14" s="10">
        <v>21</v>
      </c>
      <c r="F14" s="10"/>
      <c r="G14" s="10"/>
      <c r="H14" s="10"/>
      <c r="I14" s="10"/>
      <c r="J14" s="10">
        <v>1</v>
      </c>
      <c r="K14" s="10">
        <v>218</v>
      </c>
      <c r="L14" s="10">
        <v>2</v>
      </c>
      <c r="M14" s="10">
        <v>414</v>
      </c>
      <c r="N14" s="10"/>
      <c r="O14" s="10"/>
      <c r="P14" s="10"/>
      <c r="Q14" s="10"/>
      <c r="R14" s="10"/>
      <c r="S14" s="10"/>
      <c r="T14" s="10">
        <v>6</v>
      </c>
      <c r="U14" s="10">
        <v>34</v>
      </c>
      <c r="V14" s="10">
        <v>4</v>
      </c>
      <c r="W14" s="10">
        <v>12</v>
      </c>
      <c r="X14" s="10"/>
      <c r="Y14" s="10"/>
      <c r="Z14" s="10"/>
      <c r="AA14" s="10"/>
      <c r="AB14" s="10">
        <v>1</v>
      </c>
      <c r="AC14" s="10">
        <v>2</v>
      </c>
      <c r="AD14" s="10">
        <v>11</v>
      </c>
      <c r="AE14" s="10">
        <v>82</v>
      </c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>
        <v>148</v>
      </c>
      <c r="AS14" s="10">
        <f t="shared" si="0"/>
        <v>740</v>
      </c>
      <c r="AT14" s="8" t="s">
        <v>39</v>
      </c>
      <c r="AU14" s="9">
        <v>240</v>
      </c>
      <c r="AV14" s="10" t="s">
        <v>24</v>
      </c>
      <c r="AW14" s="10">
        <f t="shared" si="1"/>
        <v>483</v>
      </c>
      <c r="AX14" s="10">
        <f t="shared" si="2"/>
        <v>783</v>
      </c>
      <c r="AY14" s="11">
        <f t="shared" si="3"/>
        <v>1523</v>
      </c>
      <c r="AZ14" s="12">
        <v>167</v>
      </c>
    </row>
    <row r="15" spans="1:52" x14ac:dyDescent="0.25">
      <c r="A15" s="8" t="s">
        <v>40</v>
      </c>
      <c r="B15" s="9">
        <v>261</v>
      </c>
      <c r="C15" s="10" t="s">
        <v>28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>
        <v>1</v>
      </c>
      <c r="U15" s="10">
        <v>10</v>
      </c>
      <c r="V15" s="10"/>
      <c r="W15" s="10"/>
      <c r="X15" s="10"/>
      <c r="Y15" s="10"/>
      <c r="Z15" s="10"/>
      <c r="AA15" s="10"/>
      <c r="AB15" s="10">
        <v>12</v>
      </c>
      <c r="AC15" s="10">
        <v>97</v>
      </c>
      <c r="AD15" s="10">
        <v>10</v>
      </c>
      <c r="AE15" s="10">
        <v>78</v>
      </c>
      <c r="AF15" s="10">
        <v>10</v>
      </c>
      <c r="AG15" s="10">
        <v>22</v>
      </c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>
        <v>59</v>
      </c>
      <c r="AS15" s="10">
        <f t="shared" si="0"/>
        <v>295</v>
      </c>
      <c r="AT15" s="8" t="s">
        <v>40</v>
      </c>
      <c r="AU15" s="9">
        <v>261</v>
      </c>
      <c r="AV15" s="10" t="s">
        <v>28</v>
      </c>
      <c r="AW15" s="10">
        <f t="shared" si="1"/>
        <v>107</v>
      </c>
      <c r="AX15" s="10">
        <f t="shared" si="2"/>
        <v>207</v>
      </c>
      <c r="AY15" s="11">
        <f t="shared" si="3"/>
        <v>502</v>
      </c>
      <c r="AZ15" s="12">
        <v>147</v>
      </c>
    </row>
    <row r="16" spans="1:52" x14ac:dyDescent="0.25">
      <c r="A16" s="8" t="s">
        <v>41</v>
      </c>
      <c r="B16" s="9">
        <v>291</v>
      </c>
      <c r="C16" s="10" t="s">
        <v>28</v>
      </c>
      <c r="D16" s="10">
        <v>4</v>
      </c>
      <c r="E16" s="10">
        <v>158</v>
      </c>
      <c r="F16" s="10">
        <v>1</v>
      </c>
      <c r="G16" s="10">
        <v>60</v>
      </c>
      <c r="H16" s="10">
        <v>2</v>
      </c>
      <c r="I16" s="10">
        <v>1201</v>
      </c>
      <c r="J16" s="10"/>
      <c r="K16" s="10"/>
      <c r="L16" s="10">
        <v>1</v>
      </c>
      <c r="M16" s="10">
        <v>246</v>
      </c>
      <c r="N16" s="10">
        <v>2</v>
      </c>
      <c r="O16" s="10">
        <v>51</v>
      </c>
      <c r="P16" s="10"/>
      <c r="Q16" s="10"/>
      <c r="R16" s="10"/>
      <c r="S16" s="10"/>
      <c r="T16" s="10">
        <v>6</v>
      </c>
      <c r="U16" s="10">
        <v>37</v>
      </c>
      <c r="V16" s="10"/>
      <c r="W16" s="10"/>
      <c r="X16" s="10">
        <v>2</v>
      </c>
      <c r="Y16" s="10">
        <v>9</v>
      </c>
      <c r="Z16" s="10"/>
      <c r="AA16" s="10"/>
      <c r="AB16" s="10">
        <v>53</v>
      </c>
      <c r="AC16" s="10">
        <v>208</v>
      </c>
      <c r="AD16" s="10">
        <v>62</v>
      </c>
      <c r="AE16" s="10">
        <v>325</v>
      </c>
      <c r="AF16" s="10">
        <v>29</v>
      </c>
      <c r="AG16" s="10">
        <v>62</v>
      </c>
      <c r="AH16" s="10"/>
      <c r="AI16" s="10"/>
      <c r="AJ16" s="10">
        <v>1</v>
      </c>
      <c r="AK16" s="10">
        <v>134</v>
      </c>
      <c r="AL16" s="10"/>
      <c r="AM16" s="10"/>
      <c r="AN16" s="10">
        <v>1</v>
      </c>
      <c r="AO16" s="10">
        <v>84</v>
      </c>
      <c r="AP16" s="10">
        <v>1</v>
      </c>
      <c r="AQ16" s="10">
        <v>68</v>
      </c>
      <c r="AR16" s="10">
        <v>388</v>
      </c>
      <c r="AS16" s="10">
        <f t="shared" si="0"/>
        <v>1940</v>
      </c>
      <c r="AT16" s="8" t="s">
        <v>41</v>
      </c>
      <c r="AU16" s="9">
        <v>291</v>
      </c>
      <c r="AV16" s="10" t="s">
        <v>28</v>
      </c>
      <c r="AW16" s="10">
        <f t="shared" si="1"/>
        <v>1943</v>
      </c>
      <c r="AX16" s="10">
        <f t="shared" si="2"/>
        <v>2643</v>
      </c>
      <c r="AY16" s="11">
        <f t="shared" si="3"/>
        <v>4583</v>
      </c>
      <c r="AZ16" s="12">
        <v>1446</v>
      </c>
    </row>
    <row r="17" spans="1:52" x14ac:dyDescent="0.25">
      <c r="A17" s="8" t="s">
        <v>42</v>
      </c>
      <c r="B17" s="9">
        <v>326</v>
      </c>
      <c r="C17" s="10" t="s">
        <v>28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>
        <v>15</v>
      </c>
      <c r="AC17" s="10">
        <v>76</v>
      </c>
      <c r="AD17" s="10">
        <v>1</v>
      </c>
      <c r="AE17" s="10">
        <v>4</v>
      </c>
      <c r="AF17" s="10">
        <v>6</v>
      </c>
      <c r="AG17" s="10">
        <v>12</v>
      </c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>
        <v>58</v>
      </c>
      <c r="AS17" s="10">
        <f t="shared" si="0"/>
        <v>290</v>
      </c>
      <c r="AT17" s="8" t="s">
        <v>42</v>
      </c>
      <c r="AU17" s="9">
        <v>326</v>
      </c>
      <c r="AV17" s="10" t="s">
        <v>28</v>
      </c>
      <c r="AW17" s="10">
        <f t="shared" si="1"/>
        <v>76</v>
      </c>
      <c r="AX17" s="10">
        <f t="shared" si="2"/>
        <v>92</v>
      </c>
      <c r="AY17" s="11">
        <f t="shared" si="3"/>
        <v>382</v>
      </c>
      <c r="AZ17" s="12">
        <v>96</v>
      </c>
    </row>
    <row r="18" spans="1:52" x14ac:dyDescent="0.25">
      <c r="A18" s="8" t="s">
        <v>43</v>
      </c>
      <c r="B18" s="9">
        <v>330</v>
      </c>
      <c r="C18" s="10" t="s">
        <v>28</v>
      </c>
      <c r="D18" s="10"/>
      <c r="E18" s="10"/>
      <c r="F18" s="10"/>
      <c r="G18" s="10"/>
      <c r="H18" s="10"/>
      <c r="I18" s="10"/>
      <c r="J18" s="10"/>
      <c r="K18" s="10"/>
      <c r="L18" s="10">
        <v>1</v>
      </c>
      <c r="M18" s="10">
        <v>345</v>
      </c>
      <c r="N18" s="10"/>
      <c r="O18" s="10"/>
      <c r="P18" s="10"/>
      <c r="Q18" s="10"/>
      <c r="R18" s="10"/>
      <c r="S18" s="10"/>
      <c r="T18" s="10">
        <v>5</v>
      </c>
      <c r="U18" s="10">
        <v>35</v>
      </c>
      <c r="V18" s="10"/>
      <c r="W18" s="10"/>
      <c r="X18" s="10"/>
      <c r="Y18" s="10"/>
      <c r="Z18" s="13"/>
      <c r="AA18" s="13"/>
      <c r="AB18" s="10">
        <v>10</v>
      </c>
      <c r="AC18" s="10">
        <v>83</v>
      </c>
      <c r="AD18" s="10">
        <v>29</v>
      </c>
      <c r="AE18" s="10">
        <v>149</v>
      </c>
      <c r="AF18" s="10">
        <v>15</v>
      </c>
      <c r="AG18" s="10">
        <v>39</v>
      </c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>
        <v>138</v>
      </c>
      <c r="AS18" s="10">
        <f t="shared" si="0"/>
        <v>690</v>
      </c>
      <c r="AT18" s="8" t="s">
        <v>43</v>
      </c>
      <c r="AU18" s="9">
        <v>330</v>
      </c>
      <c r="AV18" s="10" t="s">
        <v>28</v>
      </c>
      <c r="AW18" s="10">
        <f t="shared" si="1"/>
        <v>463</v>
      </c>
      <c r="AX18" s="10">
        <f t="shared" si="2"/>
        <v>651</v>
      </c>
      <c r="AY18" s="11">
        <f t="shared" si="3"/>
        <v>1341</v>
      </c>
      <c r="AZ18" s="12">
        <v>387</v>
      </c>
    </row>
    <row r="19" spans="1:52" x14ac:dyDescent="0.25">
      <c r="A19" s="8" t="s">
        <v>44</v>
      </c>
      <c r="B19" s="9">
        <v>356</v>
      </c>
      <c r="C19" s="10" t="s">
        <v>28</v>
      </c>
      <c r="D19" s="10">
        <v>1</v>
      </c>
      <c r="E19" s="10">
        <v>46</v>
      </c>
      <c r="F19" s="10"/>
      <c r="G19" s="10"/>
      <c r="H19" s="10"/>
      <c r="I19" s="10"/>
      <c r="J19" s="10"/>
      <c r="K19" s="10"/>
      <c r="L19" s="10">
        <v>4</v>
      </c>
      <c r="M19" s="10">
        <v>807</v>
      </c>
      <c r="N19" s="10">
        <v>1</v>
      </c>
      <c r="O19" s="10">
        <v>30</v>
      </c>
      <c r="P19" s="10"/>
      <c r="Q19" s="10"/>
      <c r="R19" s="10"/>
      <c r="S19" s="10"/>
      <c r="T19" s="10">
        <v>3</v>
      </c>
      <c r="U19" s="10">
        <v>20</v>
      </c>
      <c r="V19" s="10"/>
      <c r="W19" s="10"/>
      <c r="X19" s="10">
        <v>2</v>
      </c>
      <c r="Y19" s="10">
        <v>6</v>
      </c>
      <c r="Z19" s="10">
        <v>4</v>
      </c>
      <c r="AA19" s="10">
        <v>8</v>
      </c>
      <c r="AB19" s="10">
        <v>14</v>
      </c>
      <c r="AC19" s="10">
        <v>85</v>
      </c>
      <c r="AD19" s="10">
        <v>32</v>
      </c>
      <c r="AE19" s="10">
        <v>192</v>
      </c>
      <c r="AF19" s="10">
        <v>11</v>
      </c>
      <c r="AG19" s="10">
        <v>22</v>
      </c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>
        <v>120</v>
      </c>
      <c r="AS19" s="10">
        <f t="shared" si="0"/>
        <v>600</v>
      </c>
      <c r="AT19" s="8" t="s">
        <v>44</v>
      </c>
      <c r="AU19" s="9">
        <v>356</v>
      </c>
      <c r="AV19" s="10" t="s">
        <v>28</v>
      </c>
      <c r="AW19" s="10">
        <f t="shared" si="1"/>
        <v>972</v>
      </c>
      <c r="AX19" s="10">
        <f t="shared" si="2"/>
        <v>1216</v>
      </c>
      <c r="AY19" s="11">
        <f t="shared" si="3"/>
        <v>1816</v>
      </c>
      <c r="AZ19" s="12">
        <v>835</v>
      </c>
    </row>
    <row r="20" spans="1:52" x14ac:dyDescent="0.25">
      <c r="A20" s="8" t="s">
        <v>45</v>
      </c>
      <c r="B20" s="9">
        <v>377</v>
      </c>
      <c r="C20" s="10" t="s">
        <v>28</v>
      </c>
      <c r="D20" s="10"/>
      <c r="E20" s="10"/>
      <c r="F20" s="10"/>
      <c r="G20" s="10"/>
      <c r="H20" s="10"/>
      <c r="I20" s="10"/>
      <c r="J20" s="10">
        <v>1</v>
      </c>
      <c r="K20" s="10">
        <v>104</v>
      </c>
      <c r="L20" s="10">
        <v>1</v>
      </c>
      <c r="M20" s="10">
        <v>1224</v>
      </c>
      <c r="N20" s="10"/>
      <c r="O20" s="10"/>
      <c r="P20" s="10"/>
      <c r="Q20" s="10"/>
      <c r="R20" s="10">
        <v>1</v>
      </c>
      <c r="S20" s="10">
        <v>500</v>
      </c>
      <c r="T20" s="10"/>
      <c r="U20" s="10"/>
      <c r="V20" s="10"/>
      <c r="W20" s="10"/>
      <c r="X20" s="10"/>
      <c r="Y20" s="10"/>
      <c r="Z20" s="10"/>
      <c r="AA20" s="10"/>
      <c r="AB20" s="10">
        <v>5</v>
      </c>
      <c r="AC20" s="10">
        <v>26</v>
      </c>
      <c r="AD20" s="10">
        <v>2</v>
      </c>
      <c r="AE20" s="10">
        <v>11</v>
      </c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>
        <v>10</v>
      </c>
      <c r="AS20" s="10">
        <f t="shared" si="0"/>
        <v>50</v>
      </c>
      <c r="AT20" s="8" t="s">
        <v>45</v>
      </c>
      <c r="AU20" s="9">
        <v>377</v>
      </c>
      <c r="AV20" s="10" t="s">
        <v>28</v>
      </c>
      <c r="AW20" s="10">
        <f t="shared" si="1"/>
        <v>1250</v>
      </c>
      <c r="AX20" s="10">
        <f t="shared" si="2"/>
        <v>1865</v>
      </c>
      <c r="AY20" s="11">
        <f t="shared" si="3"/>
        <v>1915</v>
      </c>
      <c r="AZ20" s="12">
        <v>67</v>
      </c>
    </row>
    <row r="21" spans="1:52" x14ac:dyDescent="0.25">
      <c r="A21" s="8" t="s">
        <v>46</v>
      </c>
      <c r="B21" s="9">
        <v>388</v>
      </c>
      <c r="C21" s="10" t="s">
        <v>28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>
        <v>1</v>
      </c>
      <c r="Q21" s="10">
        <v>54</v>
      </c>
      <c r="R21" s="10"/>
      <c r="S21" s="10"/>
      <c r="T21" s="10">
        <v>12</v>
      </c>
      <c r="U21" s="10">
        <v>47</v>
      </c>
      <c r="V21" s="10"/>
      <c r="W21" s="10"/>
      <c r="X21" s="10"/>
      <c r="Y21" s="10"/>
      <c r="Z21" s="10"/>
      <c r="AA21" s="10"/>
      <c r="AB21" s="10">
        <v>5</v>
      </c>
      <c r="AC21" s="10">
        <v>36</v>
      </c>
      <c r="AD21" s="10">
        <v>14</v>
      </c>
      <c r="AE21" s="10">
        <v>96</v>
      </c>
      <c r="AF21" s="10">
        <v>2</v>
      </c>
      <c r="AG21" s="10">
        <v>4</v>
      </c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>
        <v>114</v>
      </c>
      <c r="AS21" s="10">
        <f t="shared" si="0"/>
        <v>570</v>
      </c>
      <c r="AT21" s="8" t="s">
        <v>46</v>
      </c>
      <c r="AU21" s="9">
        <v>388</v>
      </c>
      <c r="AV21" s="10" t="s">
        <v>28</v>
      </c>
      <c r="AW21" s="10">
        <f t="shared" si="1"/>
        <v>137</v>
      </c>
      <c r="AX21" s="10">
        <f t="shared" si="2"/>
        <v>237</v>
      </c>
      <c r="AY21" s="11">
        <f t="shared" si="3"/>
        <v>807</v>
      </c>
      <c r="AZ21" s="12">
        <v>248</v>
      </c>
    </row>
    <row r="22" spans="1:52" x14ac:dyDescent="0.25">
      <c r="A22" s="8" t="s">
        <v>47</v>
      </c>
      <c r="B22" s="9">
        <v>404</v>
      </c>
      <c r="C22" s="10" t="s">
        <v>28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>
        <v>1</v>
      </c>
      <c r="O22" s="10">
        <v>195</v>
      </c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>
        <v>3</v>
      </c>
      <c r="AC22" s="10">
        <v>28</v>
      </c>
      <c r="AD22" s="10">
        <v>9</v>
      </c>
      <c r="AE22" s="10">
        <v>49</v>
      </c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>
        <v>38</v>
      </c>
      <c r="AS22" s="10">
        <f t="shared" si="0"/>
        <v>190</v>
      </c>
      <c r="AT22" s="8" t="s">
        <v>47</v>
      </c>
      <c r="AU22" s="9">
        <v>404</v>
      </c>
      <c r="AV22" s="10" t="s">
        <v>28</v>
      </c>
      <c r="AW22" s="10">
        <f t="shared" si="1"/>
        <v>28</v>
      </c>
      <c r="AX22" s="10">
        <f t="shared" si="2"/>
        <v>272</v>
      </c>
      <c r="AY22" s="11">
        <f t="shared" si="3"/>
        <v>462</v>
      </c>
      <c r="AZ22" s="12">
        <v>89</v>
      </c>
    </row>
    <row r="23" spans="1:52" x14ac:dyDescent="0.25">
      <c r="A23" s="8" t="s">
        <v>48</v>
      </c>
      <c r="B23" s="9">
        <v>443</v>
      </c>
      <c r="C23" s="10" t="s">
        <v>28</v>
      </c>
      <c r="D23" s="10"/>
      <c r="E23" s="10"/>
      <c r="F23" s="10"/>
      <c r="G23" s="10"/>
      <c r="H23" s="10"/>
      <c r="I23" s="10"/>
      <c r="J23" s="10"/>
      <c r="K23" s="10"/>
      <c r="L23" s="10">
        <v>1</v>
      </c>
      <c r="M23" s="10">
        <v>639</v>
      </c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>
        <v>12</v>
      </c>
      <c r="AC23" s="10">
        <v>53</v>
      </c>
      <c r="AD23" s="10">
        <v>27</v>
      </c>
      <c r="AE23" s="10">
        <v>160</v>
      </c>
      <c r="AF23" s="10">
        <v>10</v>
      </c>
      <c r="AG23" s="10">
        <v>26</v>
      </c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>
        <v>148</v>
      </c>
      <c r="AS23" s="10">
        <f t="shared" si="0"/>
        <v>740</v>
      </c>
      <c r="AT23" s="8" t="s">
        <v>48</v>
      </c>
      <c r="AU23" s="9">
        <v>443</v>
      </c>
      <c r="AV23" s="10" t="s">
        <v>28</v>
      </c>
      <c r="AW23" s="10">
        <f t="shared" si="1"/>
        <v>692</v>
      </c>
      <c r="AX23" s="10">
        <f t="shared" si="2"/>
        <v>878</v>
      </c>
      <c r="AY23" s="11">
        <f t="shared" si="3"/>
        <v>1618</v>
      </c>
      <c r="AZ23" s="12">
        <v>216</v>
      </c>
    </row>
    <row r="24" spans="1:52" x14ac:dyDescent="0.25">
      <c r="A24" s="8" t="s">
        <v>49</v>
      </c>
      <c r="B24" s="9">
        <v>524</v>
      </c>
      <c r="C24" s="10" t="s">
        <v>28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>
        <v>3</v>
      </c>
      <c r="U24" s="10">
        <v>16</v>
      </c>
      <c r="V24" s="10"/>
      <c r="W24" s="10"/>
      <c r="X24" s="10"/>
      <c r="Y24" s="10"/>
      <c r="Z24" s="10">
        <v>3</v>
      </c>
      <c r="AA24" s="10">
        <v>13</v>
      </c>
      <c r="AB24" s="10">
        <v>5</v>
      </c>
      <c r="AC24" s="10">
        <v>27</v>
      </c>
      <c r="AD24" s="10">
        <v>8</v>
      </c>
      <c r="AE24" s="10">
        <v>46</v>
      </c>
      <c r="AF24" s="10">
        <v>1</v>
      </c>
      <c r="AG24" s="10">
        <v>2</v>
      </c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>
        <v>27</v>
      </c>
      <c r="AS24" s="10">
        <f t="shared" si="0"/>
        <v>135</v>
      </c>
      <c r="AT24" s="8" t="s">
        <v>49</v>
      </c>
      <c r="AU24" s="9">
        <v>524</v>
      </c>
      <c r="AV24" s="10" t="s">
        <v>28</v>
      </c>
      <c r="AW24" s="10">
        <f t="shared" si="1"/>
        <v>56</v>
      </c>
      <c r="AX24" s="10">
        <f t="shared" si="2"/>
        <v>104</v>
      </c>
      <c r="AY24" s="11">
        <f t="shared" si="3"/>
        <v>239</v>
      </c>
      <c r="AZ24" s="12">
        <v>82</v>
      </c>
    </row>
    <row r="25" spans="1:52" x14ac:dyDescent="0.25">
      <c r="A25" s="8" t="s">
        <v>50</v>
      </c>
      <c r="B25" s="9">
        <v>531</v>
      </c>
      <c r="C25" s="10" t="s">
        <v>28</v>
      </c>
      <c r="D25" s="10">
        <v>1</v>
      </c>
      <c r="E25" s="10">
        <v>20</v>
      </c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v>2</v>
      </c>
      <c r="U25" s="10">
        <v>10</v>
      </c>
      <c r="V25" s="10"/>
      <c r="W25" s="10"/>
      <c r="X25" s="10">
        <v>2</v>
      </c>
      <c r="Y25" s="10">
        <v>11</v>
      </c>
      <c r="Z25" s="13"/>
      <c r="AA25" s="13"/>
      <c r="AB25" s="10">
        <v>5</v>
      </c>
      <c r="AC25" s="10">
        <v>36</v>
      </c>
      <c r="AD25" s="10">
        <v>14</v>
      </c>
      <c r="AE25" s="10">
        <v>91</v>
      </c>
      <c r="AF25" s="10">
        <v>3</v>
      </c>
      <c r="AG25" s="10">
        <v>8</v>
      </c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>
        <v>33</v>
      </c>
      <c r="AS25" s="10">
        <f t="shared" si="0"/>
        <v>165</v>
      </c>
      <c r="AT25" s="8" t="s">
        <v>50</v>
      </c>
      <c r="AU25" s="9">
        <v>531</v>
      </c>
      <c r="AV25" s="10" t="s">
        <v>28</v>
      </c>
      <c r="AW25" s="10">
        <f t="shared" si="1"/>
        <v>77</v>
      </c>
      <c r="AX25" s="10">
        <f t="shared" si="2"/>
        <v>176</v>
      </c>
      <c r="AY25" s="11">
        <f t="shared" si="3"/>
        <v>341</v>
      </c>
      <c r="AZ25" s="12">
        <v>113</v>
      </c>
    </row>
    <row r="26" spans="1:52" x14ac:dyDescent="0.25">
      <c r="A26" s="8" t="s">
        <v>51</v>
      </c>
      <c r="B26" s="9">
        <v>552</v>
      </c>
      <c r="C26" s="10" t="s">
        <v>28</v>
      </c>
      <c r="D26" s="10">
        <v>1</v>
      </c>
      <c r="E26" s="10">
        <v>53</v>
      </c>
      <c r="F26" s="10"/>
      <c r="G26" s="10"/>
      <c r="H26" s="10"/>
      <c r="I26" s="10"/>
      <c r="J26" s="10"/>
      <c r="K26" s="10"/>
      <c r="L26" s="10">
        <v>1</v>
      </c>
      <c r="M26" s="10">
        <v>216</v>
      </c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>
        <v>2</v>
      </c>
      <c r="AC26" s="10">
        <v>12</v>
      </c>
      <c r="AD26" s="10">
        <v>10</v>
      </c>
      <c r="AE26" s="10">
        <v>65</v>
      </c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>
        <v>37</v>
      </c>
      <c r="AS26" s="10">
        <f t="shared" si="0"/>
        <v>185</v>
      </c>
      <c r="AT26" s="8" t="s">
        <v>51</v>
      </c>
      <c r="AU26" s="9">
        <v>552</v>
      </c>
      <c r="AV26" s="10" t="s">
        <v>28</v>
      </c>
      <c r="AW26" s="10">
        <f t="shared" si="1"/>
        <v>281</v>
      </c>
      <c r="AX26" s="10">
        <f t="shared" si="2"/>
        <v>346</v>
      </c>
      <c r="AY26" s="11">
        <f t="shared" si="3"/>
        <v>531</v>
      </c>
      <c r="AZ26" s="12">
        <v>135</v>
      </c>
    </row>
    <row r="27" spans="1:52" x14ac:dyDescent="0.25">
      <c r="A27" s="8" t="s">
        <v>52</v>
      </c>
      <c r="B27" s="9">
        <v>559</v>
      </c>
      <c r="C27" s="10" t="s">
        <v>28</v>
      </c>
      <c r="D27" s="10"/>
      <c r="E27" s="10"/>
      <c r="F27" s="10"/>
      <c r="G27" s="10"/>
      <c r="H27" s="10"/>
      <c r="I27" s="10"/>
      <c r="J27" s="10"/>
      <c r="K27" s="10"/>
      <c r="L27" s="10">
        <v>5</v>
      </c>
      <c r="M27" s="10">
        <v>747</v>
      </c>
      <c r="N27" s="10"/>
      <c r="O27" s="10"/>
      <c r="P27" s="10"/>
      <c r="Q27" s="10"/>
      <c r="R27" s="10"/>
      <c r="S27" s="10"/>
      <c r="T27" s="10">
        <v>4</v>
      </c>
      <c r="U27" s="10">
        <v>22</v>
      </c>
      <c r="V27" s="10"/>
      <c r="W27" s="10"/>
      <c r="X27" s="10"/>
      <c r="Y27" s="10"/>
      <c r="Z27" s="10"/>
      <c r="AA27" s="10"/>
      <c r="AB27" s="10">
        <v>8</v>
      </c>
      <c r="AC27" s="10">
        <v>29</v>
      </c>
      <c r="AD27" s="10">
        <v>21</v>
      </c>
      <c r="AE27" s="10">
        <v>128</v>
      </c>
      <c r="AF27" s="10">
        <v>10</v>
      </c>
      <c r="AG27" s="10">
        <v>26</v>
      </c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>
        <v>69</v>
      </c>
      <c r="AS27" s="10">
        <f t="shared" si="0"/>
        <v>345</v>
      </c>
      <c r="AT27" s="8" t="s">
        <v>52</v>
      </c>
      <c r="AU27" s="9">
        <v>559</v>
      </c>
      <c r="AV27" s="10" t="s">
        <v>28</v>
      </c>
      <c r="AW27" s="10">
        <f t="shared" si="1"/>
        <v>798</v>
      </c>
      <c r="AX27" s="10">
        <f t="shared" si="2"/>
        <v>952</v>
      </c>
      <c r="AY27" s="11">
        <f t="shared" si="3"/>
        <v>1297</v>
      </c>
      <c r="AZ27" s="12">
        <v>166</v>
      </c>
    </row>
    <row r="28" spans="1:52" x14ac:dyDescent="0.25">
      <c r="A28" s="8" t="s">
        <v>53</v>
      </c>
      <c r="B28" s="9">
        <v>563</v>
      </c>
      <c r="C28" s="10" t="s">
        <v>28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2</v>
      </c>
      <c r="U28" s="10">
        <v>12</v>
      </c>
      <c r="V28" s="10"/>
      <c r="W28" s="10"/>
      <c r="X28" s="10">
        <v>2</v>
      </c>
      <c r="Y28" s="10">
        <v>12</v>
      </c>
      <c r="Z28" s="10">
        <v>5</v>
      </c>
      <c r="AA28" s="10">
        <v>15</v>
      </c>
      <c r="AB28" s="10">
        <v>7</v>
      </c>
      <c r="AC28" s="10">
        <v>25</v>
      </c>
      <c r="AD28" s="10">
        <v>13</v>
      </c>
      <c r="AE28" s="10">
        <v>71</v>
      </c>
      <c r="AF28" s="10">
        <v>9</v>
      </c>
      <c r="AG28" s="10">
        <v>25</v>
      </c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>
        <v>38</v>
      </c>
      <c r="AS28" s="10">
        <f t="shared" si="0"/>
        <v>190</v>
      </c>
      <c r="AT28" s="8" t="s">
        <v>53</v>
      </c>
      <c r="AU28" s="9">
        <v>563</v>
      </c>
      <c r="AV28" s="10" t="s">
        <v>28</v>
      </c>
      <c r="AW28" s="10">
        <f t="shared" si="1"/>
        <v>64</v>
      </c>
      <c r="AX28" s="10">
        <f t="shared" si="2"/>
        <v>160</v>
      </c>
      <c r="AY28" s="11">
        <f t="shared" si="3"/>
        <v>350</v>
      </c>
      <c r="AZ28" s="12">
        <v>140</v>
      </c>
    </row>
    <row r="29" spans="1:52" x14ac:dyDescent="0.25">
      <c r="A29" s="4" t="s">
        <v>54</v>
      </c>
      <c r="B29" s="5"/>
      <c r="C29" s="4"/>
      <c r="D29" s="6">
        <f t="shared" ref="D29:AS29" si="4">SUM(D3:D28)</f>
        <v>21</v>
      </c>
      <c r="E29" s="6">
        <f t="shared" si="4"/>
        <v>898</v>
      </c>
      <c r="F29" s="6">
        <f t="shared" si="4"/>
        <v>3</v>
      </c>
      <c r="G29" s="6">
        <f t="shared" si="4"/>
        <v>102</v>
      </c>
      <c r="H29" s="6">
        <f t="shared" si="4"/>
        <v>5</v>
      </c>
      <c r="I29" s="6">
        <f t="shared" si="4"/>
        <v>2562</v>
      </c>
      <c r="J29" s="6">
        <f t="shared" si="4"/>
        <v>2</v>
      </c>
      <c r="K29" s="6">
        <f t="shared" si="4"/>
        <v>322</v>
      </c>
      <c r="L29" s="6">
        <f t="shared" si="4"/>
        <v>27</v>
      </c>
      <c r="M29" s="6">
        <f t="shared" si="4"/>
        <v>8761</v>
      </c>
      <c r="N29" s="6">
        <f t="shared" si="4"/>
        <v>5</v>
      </c>
      <c r="O29" s="6">
        <f t="shared" si="4"/>
        <v>303</v>
      </c>
      <c r="P29" s="6">
        <f t="shared" si="4"/>
        <v>2</v>
      </c>
      <c r="Q29" s="6">
        <f t="shared" si="4"/>
        <v>94</v>
      </c>
      <c r="R29" s="6">
        <f t="shared" si="4"/>
        <v>3</v>
      </c>
      <c r="S29" s="6">
        <f t="shared" si="4"/>
        <v>1022</v>
      </c>
      <c r="T29" s="6">
        <f t="shared" si="4"/>
        <v>78</v>
      </c>
      <c r="U29" s="6">
        <f t="shared" si="4"/>
        <v>406</v>
      </c>
      <c r="V29" s="6">
        <f t="shared" si="4"/>
        <v>9</v>
      </c>
      <c r="W29" s="6">
        <f t="shared" si="4"/>
        <v>24</v>
      </c>
      <c r="X29" s="6">
        <f t="shared" si="4"/>
        <v>15</v>
      </c>
      <c r="Y29" s="6">
        <f t="shared" si="4"/>
        <v>65</v>
      </c>
      <c r="Z29" s="6">
        <f t="shared" si="4"/>
        <v>12</v>
      </c>
      <c r="AA29" s="6">
        <f t="shared" si="4"/>
        <v>36</v>
      </c>
      <c r="AB29" s="6">
        <f t="shared" si="4"/>
        <v>295</v>
      </c>
      <c r="AC29" s="6">
        <f t="shared" si="4"/>
        <v>1497</v>
      </c>
      <c r="AD29" s="6">
        <f t="shared" si="4"/>
        <v>460</v>
      </c>
      <c r="AE29" s="6">
        <f t="shared" si="4"/>
        <v>2619</v>
      </c>
      <c r="AF29" s="6">
        <f t="shared" si="4"/>
        <v>248</v>
      </c>
      <c r="AG29" s="6">
        <f t="shared" si="4"/>
        <v>580</v>
      </c>
      <c r="AH29" s="6">
        <f t="shared" si="4"/>
        <v>0</v>
      </c>
      <c r="AI29" s="6">
        <f t="shared" si="4"/>
        <v>0</v>
      </c>
      <c r="AJ29" s="6">
        <f t="shared" si="4"/>
        <v>3</v>
      </c>
      <c r="AK29" s="6">
        <f t="shared" si="4"/>
        <v>242</v>
      </c>
      <c r="AL29" s="6">
        <f t="shared" si="4"/>
        <v>0</v>
      </c>
      <c r="AM29" s="6">
        <f t="shared" si="4"/>
        <v>0</v>
      </c>
      <c r="AN29" s="6">
        <f t="shared" si="4"/>
        <v>1</v>
      </c>
      <c r="AO29" s="6">
        <f t="shared" si="4"/>
        <v>84</v>
      </c>
      <c r="AP29" s="6">
        <f t="shared" si="4"/>
        <v>1</v>
      </c>
      <c r="AQ29" s="6">
        <f t="shared" si="4"/>
        <v>68</v>
      </c>
      <c r="AR29" s="6">
        <f t="shared" si="4"/>
        <v>2530</v>
      </c>
      <c r="AS29" s="6">
        <f t="shared" si="4"/>
        <v>12650</v>
      </c>
      <c r="AT29" s="20" t="s">
        <v>54</v>
      </c>
      <c r="AU29" s="21"/>
      <c r="AV29" s="22"/>
      <c r="AW29" s="6">
        <f t="shared" ref="AW29:AZ29" si="5">SUM(AW3:AW28)</f>
        <v>14427</v>
      </c>
      <c r="AX29" s="6">
        <f t="shared" si="5"/>
        <v>19685</v>
      </c>
      <c r="AY29" s="7">
        <f t="shared" si="5"/>
        <v>32335</v>
      </c>
      <c r="AZ29" s="7">
        <f t="shared" si="5"/>
        <v>8021</v>
      </c>
    </row>
    <row r="30" spans="1:52" x14ac:dyDescent="0.25">
      <c r="A30" s="15"/>
      <c r="B30" s="16"/>
      <c r="C30" s="17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8"/>
      <c r="AM30" s="18"/>
      <c r="AN30" s="18"/>
      <c r="AO30" s="18"/>
      <c r="AP30" s="18"/>
      <c r="AQ30" s="18"/>
      <c r="AR30" s="18"/>
      <c r="AS30" s="18"/>
      <c r="AT30" s="18"/>
      <c r="AU30" s="16"/>
      <c r="AV30" s="17"/>
      <c r="AW30" s="18"/>
      <c r="AX30" s="17"/>
      <c r="AY30" s="18"/>
      <c r="AZ30" s="14"/>
    </row>
  </sheetData>
  <mergeCells count="27">
    <mergeCell ref="AB1:AC1"/>
    <mergeCell ref="AD1:AE1"/>
    <mergeCell ref="D1:E1"/>
    <mergeCell ref="F1:G1"/>
    <mergeCell ref="H1:I1"/>
    <mergeCell ref="L1:M1"/>
    <mergeCell ref="V1:W1"/>
    <mergeCell ref="X1:Y1"/>
    <mergeCell ref="Z1:AA1"/>
    <mergeCell ref="A1:A2"/>
    <mergeCell ref="B1:B2"/>
    <mergeCell ref="C1:C2"/>
    <mergeCell ref="R1:S1"/>
    <mergeCell ref="T1:U1"/>
    <mergeCell ref="N1:O1"/>
    <mergeCell ref="P1:Q1"/>
    <mergeCell ref="AT29:AV29"/>
    <mergeCell ref="J1:K1"/>
    <mergeCell ref="AR1:AS1"/>
    <mergeCell ref="AF1:AG1"/>
    <mergeCell ref="AH1:AI1"/>
    <mergeCell ref="AJ1:AK1"/>
    <mergeCell ref="AL1:AM1"/>
    <mergeCell ref="AN1:AO1"/>
    <mergeCell ref="AP1:AQ1"/>
    <mergeCell ref="AT1:AT2"/>
    <mergeCell ref="AU1:AU2"/>
  </mergeCells>
  <pageMargins left="0.7" right="0.7" top="0.75" bottom="0.75" header="0.3" footer="0.3"/>
  <pageSetup paperSize="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Sandrine DARPHEL</dc:creator>
  <cp:lastModifiedBy>Sandrine DARPHEL</cp:lastModifiedBy>
  <cp:lastPrinted>2026-03-31T13:13:58Z</cp:lastPrinted>
  <dcterms:created xsi:type="dcterms:W3CDTF">2025-04-17T08:51:52Z</dcterms:created>
  <dcterms:modified xsi:type="dcterms:W3CDTF">2026-04-02T08:57:57Z</dcterms:modified>
</cp:coreProperties>
</file>